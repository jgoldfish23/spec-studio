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stress" sheetId="3" state="visible" r:id="rId3"/>
  </sheets>
  <definedNames>
    <definedName name="LandPrice">Inputs!$B$5</definedName>
    <definedName name="LandClosing">Inputs!$B$6</definedName>
    <definedName name="LandLtv">Inputs!$B$8</definedName>
    <definedName name="LandRate">Inputs!$B$9</definedName>
    <definedName name="LandPointsPct">Inputs!$B$10</definedName>
    <definedName name="TaxRate">Inputs!$B$11</definedName>
    <definedName name="HoaMonthly">Inputs!$B$12</definedName>
    <definedName name="PreConMonths">Inputs!$B$15</definedName>
    <definedName name="BuildMonths">Inputs!$B$16</definedName>
    <definedName name="ListEarlyMonths">Inputs!$B$17</definedName>
    <definedName name="ClosingDays">Inputs!$B$18</definedName>
    <definedName name="MonthDays">Inputs!$B$19</definedName>
    <definedName name="Ltc">Inputs!$B$22</definedName>
    <definedName name="LoanRate">Inputs!$B$23</definedName>
    <definedName name="PointsPct">Inputs!$B$24</definedName>
    <definedName name="DrawFee">Inputs!$B$25</definedName>
    <definedName name="TermMonths">Inputs!$B$26</definedName>
    <definedName name="ExtensionPct">Inputs!$B$27</definedName>
    <definedName name="ExtensionMonths">Inputs!$B$28</definedName>
    <definedName name="InterestMode">Inputs!$B$29</definedName>
    <definedName name="InsuranceRate">Inputs!$B$32</definedName>
    <definedName name="UtilBuild">Inputs!$B$33</definedName>
    <definedName name="UtilAfter">Inputs!$B$34</definedName>
    <definedName name="StagingMonthly">Inputs!$B$35</definedName>
    <definedName name="UpkeepMonthly">Inputs!$B$36</definedName>
    <definedName name="ListingPct">Inputs!$B$39</definedName>
    <definedName name="BuyerPct">Inputs!$B$40</definedName>
    <definedName name="ClosingPct">Inputs!$B$41</definedName>
    <definedName name="Concessions">Inputs!$B$42</definedName>
    <definedName name="BidSubtotal">Inputs!$G$32</definedName>
    <definedName name="ContingencyPct">Inputs!$G$33</definedName>
    <definedName name="Contingency">Inputs!$G$34</definedName>
    <definedName name="EstimateTotal">Inputs!$G$35</definedName>
    <definedName name="SoftCost">Inputs!$G$36</definedName>
    <definedName name="HardCost">Inputs!$G$37</definedName>
    <definedName name="colK" localSheetId="1">'base'!$A$65:$A$79</definedName>
    <definedName name="colOvBuildClose" localSheetId="1">'base'!$B$65:$B$79</definedName>
    <definedName name="colOvAll" localSheetId="1">'base'!$C$65:$C$79</definedName>
    <definedName name="colOvBuild" localSheetId="1">'base'!$D$65:$D$79</definedName>
    <definedName name="colOvAfter" localSheetId="1">'base'!$E$65:$E$79</definedName>
    <definedName name="colOvListed" localSheetId="1">'base'!$F$65:$F$79</definedName>
    <definedName name="colSine" localSheetId="1">'base'!$G$65:$G$79</definedName>
    <definedName name="colDraw" localSheetId="1">'base'!$H$65:$H$79</definedName>
    <definedName name="colSpend" localSheetId="1">'base'!$I$65:$I$79</definedName>
    <definedName name="colSpendBefore" localSheetId="1">'base'!$J$65:$J$79</definedName>
    <definedName name="colDrawnBefore" localSheetId="1">'base'!$K$65:$K$79</definedName>
    <definedName name="colEqFirst" localSheetId="1">'base'!$L$65:$L$79</definedName>
    <definedName name="colLoanDraw" localSheetId="1">'base'!$M$65:$M$79</definedName>
    <definedName name="colEquitySpend" localSheetId="1">'base'!$N$65:$N$79</definedName>
    <definedName name="colSpendThrough" localSheetId="1">'base'!$O$65:$O$79</definedName>
    <definedName name="colDrawnThrough" localSheetId="1">'base'!$P$65:$P$79</definedName>
    <definedName name="colBalanceStart" localSheetId="1">'base'!$Q$65:$Q$79</definedName>
    <definedName name="colPoints" localSheetId="1">'base'!$R$65:$R$79</definedName>
    <definedName name="colDrawFee" localSheetId="1">'base'!$S$65:$S$79</definedName>
    <definedName name="colInterest" localSheetId="1">'base'!$T$65:$T$79</definedName>
    <definedName name="colInterestPaid" localSheetId="1">'base'!$U$65:$U$79</definedName>
    <definedName name="colInterestCap" localSheetId="1">'base'!$V$65:$V$79</definedName>
    <definedName name="colBalanceEnd" localSheetId="1">'base'!$W$65:$W$79</definedName>
    <definedName name="colLandInterest" localSheetId="1">'base'!$X$65:$X$79</definedName>
    <definedName name="colExtensionFee" localSheetId="1">'base'!$Y$65:$Y$79</definedName>
    <definedName name="colTax" localSheetId="1">'base'!$Z$65:$Z$79</definedName>
    <definedName name="colInsurance" localSheetId="1">'base'!$AA$65:$AA$79</definedName>
    <definedName name="colUtilities" localSheetId="1">'base'!$AB$65:$AB$79</definedName>
    <definedName name="colStaging" localSheetId="1">'base'!$AC$65:$AC$79</definedName>
    <definedName name="colUpkeep" localSheetId="1">'base'!$AD$65:$AD$79</definedName>
    <definedName name="colHoa" localSheetId="1">'base'!$AE$65:$AE$79</definedName>
    <definedName name="colLandOut" localSheetId="1">'base'!$AF$65:$AF$79</definedName>
    <definedName name="colEquityOut" localSheetId="1">'base'!$AG$65:$AG$79</definedName>
    <definedName name="colCumEquity" localSheetId="1">'base'!$AH$65:$AH$79</definedName>
    <definedName name="colExtJ" localSheetId="1">'base'!$AJ$65:$AJ$79</definedName>
    <definedName name="colExtPeriod" localSheetId="1">'base'!$AK$65:$AK$79</definedName>
    <definedName name="SalePrice" localSheetId="1">'base'!$B$5</definedName>
    <definedName name="DomDays" localSheetId="1">'base'!$B$6</definedName>
    <definedName name="Overrun" localSheetId="1">'base'!$B$7</definedName>
    <definedName name="BuildStart" localSheetId="1">'base'!$B$10</definedName>
    <definedName name="Completion" localSheetId="1">'base'!$B$11</definedName>
    <definedName name="ListMonth" localSheetId="1">'base'!$B$12</definedName>
    <definedName name="Contract" localSheetId="1">'base'!$B$13</definedName>
    <definedName name="SaleClose" localSheetId="1">'base'!$B$14</definedName>
    <definedName name="Maturity" localSheetId="1">'base'!$B$15</definedName>
    <definedName name="PeriodCount" localSheetId="1">'base'!$B$16</definedName>
    <definedName name="RowsInSchedule" localSheetId="1">'base'!$B$17</definedName>
    <definedName name="SoftActual" localSheetId="1">'base'!$B$20</definedName>
    <definedName name="HardActual" localSheetId="1">'base'!$B$21</definedName>
    <definedName name="DrawWeightSum" localSheetId="1">'base'!$B$22</definedName>
    <definedName name="Commitment" localSheetId="1">'base'!$B$23</definedName>
    <definedName name="EquityReq" localSheetId="1">'base'!$B$24</definedName>
    <definedName name="ConstrPoints" localSheetId="1">'base'!$B$25</definedName>
    <definedName name="LandLoan" localSheetId="1">'base'!$B$26</definedName>
    <definedName name="LandPoints" localSheetId="1">'base'!$B$27</definedName>
    <definedName name="ExtCount" localSheetId="1">'base'!$B$28</definedName>
    <definedName name="ExtFee" localSheetId="1">'base'!$B$29</definedName>
    <definedName name="CapFlag" localSheetId="1">'base'!$B$30</definedName>
    <definedName name="Commissions" localSheetId="1">'base'!$B$33</definedName>
    <definedName name="SaleClosing" localSheetId="1">'base'!$B$34</definedName>
    <definedName name="SaleConcessions" localSheetId="1">'base'!$B$35</definedName>
    <definedName name="NetProceeds" localSheetId="1">'base'!$B$36</definedName>
    <definedName name="LoanDrawn" localSheetId="1">'base'!$B$37</definedName>
    <definedName name="CapInterest" localSheetId="1">'base'!$B$38</definedName>
    <definedName name="Payoff" localSheetId="1">'base'!$B$39</definedName>
    <definedName name="EquityReturn" localSheetId="1">'base'!$B$40</definedName>
    <definedName name="BuildSpent" localSheetId="1">'base'!$B$43</definedName>
    <definedName name="Financing" localSheetId="1">'base'!$B$44</definedName>
    <definedName name="Carry" localSheetId="1">'base'!$B$45</definedName>
    <definedName name="TotalProjectCost" localSheetId="1">'base'!$B$46</definedName>
    <definedName name="SellingCosts" localSheetId="1">'base'!$B$47</definedName>
    <definedName name="Profit" localSheetId="1">'base'!$B$48</definedName>
    <definedName name="PeakCash" localSheetId="1">'base'!$B$49</definedName>
    <definedName name="BreakEvenPrice" localSheetId="1">'base'!$B$50</definedName>
    <definedName name="BalanceAtCompletion" localSheetId="1">'base'!$B$51</definedName>
    <definedName name="MonthlyBurn" localSheetId="1">'base'!$B$52</definedName>
    <definedName name="MaxDomNoExt" localSheetId="1">'base'!$B$53</definedName>
    <definedName name="CheckRows" localSheetId="1">'base'!$B$56</definedName>
    <definedName name="CheckSpend" localSheetId="1">'base'!$B$57</definedName>
    <definedName name="CheckFunding" localSheetId="1">'base'!$B$58</definedName>
    <definedName name="CheckFlows" localSheetId="1">'base'!$B$59</definedName>
    <definedName name="colK" localSheetId="2">'stress'!$A$65:$A$90</definedName>
    <definedName name="colOvBuildClose" localSheetId="2">'stress'!$B$65:$B$90</definedName>
    <definedName name="colOvAll" localSheetId="2">'stress'!$C$65:$C$90</definedName>
    <definedName name="colOvBuild" localSheetId="2">'stress'!$D$65:$D$90</definedName>
    <definedName name="colOvAfter" localSheetId="2">'stress'!$E$65:$E$90</definedName>
    <definedName name="colOvListed" localSheetId="2">'stress'!$F$65:$F$90</definedName>
    <definedName name="colSine" localSheetId="2">'stress'!$G$65:$G$90</definedName>
    <definedName name="colDraw" localSheetId="2">'stress'!$H$65:$H$90</definedName>
    <definedName name="colSpend" localSheetId="2">'stress'!$I$65:$I$90</definedName>
    <definedName name="colSpendBefore" localSheetId="2">'stress'!$J$65:$J$90</definedName>
    <definedName name="colDrawnBefore" localSheetId="2">'stress'!$K$65:$K$90</definedName>
    <definedName name="colEqFirst" localSheetId="2">'stress'!$L$65:$L$90</definedName>
    <definedName name="colLoanDraw" localSheetId="2">'stress'!$M$65:$M$90</definedName>
    <definedName name="colEquitySpend" localSheetId="2">'stress'!$N$65:$N$90</definedName>
    <definedName name="colSpendThrough" localSheetId="2">'stress'!$O$65:$O$90</definedName>
    <definedName name="colDrawnThrough" localSheetId="2">'stress'!$P$65:$P$90</definedName>
    <definedName name="colBalanceStart" localSheetId="2">'stress'!$Q$65:$Q$90</definedName>
    <definedName name="colPoints" localSheetId="2">'stress'!$R$65:$R$90</definedName>
    <definedName name="colDrawFee" localSheetId="2">'stress'!$S$65:$S$90</definedName>
    <definedName name="colInterest" localSheetId="2">'stress'!$T$65:$T$90</definedName>
    <definedName name="colInterestPaid" localSheetId="2">'stress'!$U$65:$U$90</definedName>
    <definedName name="colInterestCap" localSheetId="2">'stress'!$V$65:$V$90</definedName>
    <definedName name="colBalanceEnd" localSheetId="2">'stress'!$W$65:$W$90</definedName>
    <definedName name="colLandInterest" localSheetId="2">'stress'!$X$65:$X$90</definedName>
    <definedName name="colExtensionFee" localSheetId="2">'stress'!$Y$65:$Y$90</definedName>
    <definedName name="colTax" localSheetId="2">'stress'!$Z$65:$Z$90</definedName>
    <definedName name="colInsurance" localSheetId="2">'stress'!$AA$65:$AA$90</definedName>
    <definedName name="colUtilities" localSheetId="2">'stress'!$AB$65:$AB$90</definedName>
    <definedName name="colStaging" localSheetId="2">'stress'!$AC$65:$AC$90</definedName>
    <definedName name="colUpkeep" localSheetId="2">'stress'!$AD$65:$AD$90</definedName>
    <definedName name="colHoa" localSheetId="2">'stress'!$AE$65:$AE$90</definedName>
    <definedName name="colLandOut" localSheetId="2">'stress'!$AF$65:$AF$90</definedName>
    <definedName name="colEquityOut" localSheetId="2">'stress'!$AG$65:$AG$90</definedName>
    <definedName name="colCumEquity" localSheetId="2">'stress'!$AH$65:$AH$90</definedName>
    <definedName name="colExtJ" localSheetId="2">'stress'!$AJ$65:$AJ$90</definedName>
    <definedName name="colExtPeriod" localSheetId="2">'stress'!$AK$65:$AK$90</definedName>
    <definedName name="SalePrice" localSheetId="2">'stress'!$B$5</definedName>
    <definedName name="DomDays" localSheetId="2">'stress'!$B$6</definedName>
    <definedName name="Overrun" localSheetId="2">'stress'!$B$7</definedName>
    <definedName name="BuildStart" localSheetId="2">'stress'!$B$10</definedName>
    <definedName name="Completion" localSheetId="2">'stress'!$B$11</definedName>
    <definedName name="ListMonth" localSheetId="2">'stress'!$B$12</definedName>
    <definedName name="Contract" localSheetId="2">'stress'!$B$13</definedName>
    <definedName name="SaleClose" localSheetId="2">'stress'!$B$14</definedName>
    <definedName name="Maturity" localSheetId="2">'stress'!$B$15</definedName>
    <definedName name="PeriodCount" localSheetId="2">'stress'!$B$16</definedName>
    <definedName name="RowsInSchedule" localSheetId="2">'stress'!$B$17</definedName>
    <definedName name="SoftActual" localSheetId="2">'stress'!$B$20</definedName>
    <definedName name="HardActual" localSheetId="2">'stress'!$B$21</definedName>
    <definedName name="DrawWeightSum" localSheetId="2">'stress'!$B$22</definedName>
    <definedName name="Commitment" localSheetId="2">'stress'!$B$23</definedName>
    <definedName name="EquityReq" localSheetId="2">'stress'!$B$24</definedName>
    <definedName name="ConstrPoints" localSheetId="2">'stress'!$B$25</definedName>
    <definedName name="LandLoan" localSheetId="2">'stress'!$B$26</definedName>
    <definedName name="LandPoints" localSheetId="2">'stress'!$B$27</definedName>
    <definedName name="ExtCount" localSheetId="2">'stress'!$B$28</definedName>
    <definedName name="ExtFee" localSheetId="2">'stress'!$B$29</definedName>
    <definedName name="CapFlag" localSheetId="2">'stress'!$B$30</definedName>
    <definedName name="Commissions" localSheetId="2">'stress'!$B$33</definedName>
    <definedName name="SaleClosing" localSheetId="2">'stress'!$B$34</definedName>
    <definedName name="SaleConcessions" localSheetId="2">'stress'!$B$35</definedName>
    <definedName name="NetProceeds" localSheetId="2">'stress'!$B$36</definedName>
    <definedName name="LoanDrawn" localSheetId="2">'stress'!$B$37</definedName>
    <definedName name="CapInterest" localSheetId="2">'stress'!$B$38</definedName>
    <definedName name="Payoff" localSheetId="2">'stress'!$B$39</definedName>
    <definedName name="EquityReturn" localSheetId="2">'stress'!$B$40</definedName>
    <definedName name="BuildSpent" localSheetId="2">'stress'!$B$43</definedName>
    <definedName name="Financing" localSheetId="2">'stress'!$B$44</definedName>
    <definedName name="Carry" localSheetId="2">'stress'!$B$45</definedName>
    <definedName name="TotalProjectCost" localSheetId="2">'stress'!$B$46</definedName>
    <definedName name="SellingCosts" localSheetId="2">'stress'!$B$47</definedName>
    <definedName name="Profit" localSheetId="2">'stress'!$B$48</definedName>
    <definedName name="PeakCash" localSheetId="2">'stress'!$B$49</definedName>
    <definedName name="BreakEvenPrice" localSheetId="2">'stress'!$B$50</definedName>
    <definedName name="BalanceAtCompletion" localSheetId="2">'stress'!$B$51</definedName>
    <definedName name="MonthlyBurn" localSheetId="2">'stress'!$B$52</definedName>
    <definedName name="MaxDomNoExt" localSheetId="2">'stress'!$B$53</definedName>
    <definedName name="CheckRows" localSheetId="2">'stress'!$B$56</definedName>
    <definedName name="CheckSpend" localSheetId="2">'stress'!$B$57</definedName>
    <definedName name="CheckFunding" localSheetId="2">'stress'!$B$58</definedName>
    <definedName name="CheckFlows" localSheetId="2">'stress'!$B$59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34" customWidth="1" min="3" max="3"/>
    <col width="30" customWidth="1" min="5" max="5"/>
    <col width="10" customWidth="1" min="6" max="6"/>
    <col width="16" customWidth="1" min="7" max="7"/>
  </cols>
  <sheetData>
    <row r="1">
      <c r="A1" s="1" t="inlineStr">
        <is>
          <t>Golden deal - inputs</t>
        </is>
      </c>
    </row>
    <row r="2">
      <c r="A2" t="inlineStr">
        <is>
          <t>Money in dollars, rates as decimals. Source: src/engine/__fixtures__/golden-deal.inputs.json</t>
        </is>
      </c>
    </row>
    <row r="4">
      <c r="A4" s="2" t="inlineStr">
        <is>
          <t>Lot</t>
        </is>
      </c>
      <c r="E4" s="2" t="inlineStr">
        <is>
          <t>Estimate (bids)</t>
        </is>
      </c>
    </row>
    <row r="5">
      <c r="A5" t="inlineStr">
        <is>
          <t>Land price</t>
        </is>
      </c>
      <c r="B5" s="3" t="n">
        <v>295000</v>
      </c>
      <c r="E5" s="2" t="inlineStr">
        <is>
          <t>Code</t>
        </is>
      </c>
      <c r="F5" s="2" t="inlineStr">
        <is>
          <t>Division</t>
        </is>
      </c>
      <c r="G5" s="2" t="inlineStr">
        <is>
          <t>Amount</t>
        </is>
      </c>
    </row>
    <row r="6">
      <c r="A6" t="inlineStr">
        <is>
          <t>Land closing costs</t>
        </is>
      </c>
      <c r="B6" s="3" t="n">
        <v>4000</v>
      </c>
      <c r="E6" t="inlineStr">
        <is>
          <t>plans</t>
        </is>
      </c>
      <c r="F6" t="inlineStr">
        <is>
          <t>soft</t>
        </is>
      </c>
      <c r="G6" s="3" t="n">
        <v>8500</v>
      </c>
    </row>
    <row r="7">
      <c r="A7" t="inlineStr">
        <is>
          <t>Land financing</t>
        </is>
      </c>
      <c r="B7" t="inlineStr">
        <is>
          <t>cash</t>
        </is>
      </c>
      <c r="E7" t="inlineStr">
        <is>
          <t>permits</t>
        </is>
      </c>
      <c r="F7" t="inlineStr">
        <is>
          <t>soft</t>
        </is>
      </c>
      <c r="G7" s="3" t="n">
        <v>26800</v>
      </c>
    </row>
    <row r="8">
      <c r="A8" t="inlineStr">
        <is>
          <t>Land loan LTV</t>
        </is>
      </c>
      <c r="B8" s="4" t="n">
        <v>0</v>
      </c>
      <c r="C8" t="inlineStr">
        <is>
          <t>0 when bought for cash</t>
        </is>
      </c>
      <c r="E8" t="inlineStr">
        <is>
          <t>surveySoils</t>
        </is>
      </c>
      <c r="F8" t="inlineStr">
        <is>
          <t>soft</t>
        </is>
      </c>
      <c r="G8" s="3" t="n">
        <v>3200</v>
      </c>
    </row>
    <row r="9">
      <c r="A9" t="inlineStr">
        <is>
          <t>Land loan rate (annual)</t>
        </is>
      </c>
      <c r="B9" s="4" t="n">
        <v>0</v>
      </c>
      <c r="E9" t="inlineStr">
        <is>
          <t>excavation</t>
        </is>
      </c>
      <c r="F9" t="inlineStr">
        <is>
          <t>hard</t>
        </is>
      </c>
      <c r="G9" s="3" t="n">
        <v>22000</v>
      </c>
    </row>
    <row r="10">
      <c r="A10" t="inlineStr">
        <is>
          <t>Land loan points</t>
        </is>
      </c>
      <c r="B10" s="4" t="n">
        <v>0</v>
      </c>
      <c r="E10" t="inlineStr">
        <is>
          <t>utilities</t>
        </is>
      </c>
      <c r="F10" t="inlineStr">
        <is>
          <t>hard</t>
        </is>
      </c>
      <c r="G10" s="3" t="n">
        <v>15500</v>
      </c>
    </row>
    <row r="11">
      <c r="A11" t="inlineStr">
        <is>
          <t>Property tax rate (annual)</t>
        </is>
      </c>
      <c r="B11" s="4" t="n">
        <v>0.0048</v>
      </c>
      <c r="E11" t="inlineStr">
        <is>
          <t>foundation</t>
        </is>
      </c>
      <c r="F11" t="inlineStr">
        <is>
          <t>hard</t>
        </is>
      </c>
      <c r="G11" s="3" t="n">
        <v>62000</v>
      </c>
    </row>
    <row r="12">
      <c r="A12" t="inlineStr">
        <is>
          <t>HOA per month</t>
        </is>
      </c>
      <c r="B12" s="3" t="n">
        <v>0</v>
      </c>
      <c r="E12" t="inlineStr">
        <is>
          <t>framing</t>
        </is>
      </c>
      <c r="F12" t="inlineStr">
        <is>
          <t>hard</t>
        </is>
      </c>
      <c r="G12" s="3" t="n">
        <v>108000</v>
      </c>
    </row>
    <row r="13">
      <c r="E13" t="inlineStr">
        <is>
          <t>roofing</t>
        </is>
      </c>
      <c r="F13" t="inlineStr">
        <is>
          <t>hard</t>
        </is>
      </c>
      <c r="G13" s="3" t="n">
        <v>24000</v>
      </c>
    </row>
    <row r="14">
      <c r="A14" s="2" t="inlineStr">
        <is>
          <t>Timeline (months from land close)</t>
        </is>
      </c>
      <c r="E14" t="inlineStr">
        <is>
          <t>windows</t>
        </is>
      </c>
      <c r="F14" t="inlineStr">
        <is>
          <t>hard</t>
        </is>
      </c>
      <c r="G14" s="3" t="n">
        <v>31000</v>
      </c>
    </row>
    <row r="15">
      <c r="A15" t="inlineStr">
        <is>
          <t>Pre-construction months (P)</t>
        </is>
      </c>
      <c r="B15" t="n">
        <v>2</v>
      </c>
      <c r="E15" t="inlineStr">
        <is>
          <t>cladding</t>
        </is>
      </c>
      <c r="F15" t="inlineStr">
        <is>
          <t>hard</t>
        </is>
      </c>
      <c r="G15" s="3" t="n">
        <v>38000</v>
      </c>
    </row>
    <row r="16">
      <c r="A16" t="inlineStr">
        <is>
          <t>Build months (B)</t>
        </is>
      </c>
      <c r="B16" t="n">
        <v>9</v>
      </c>
      <c r="E16" t="inlineStr">
        <is>
          <t>insulation</t>
        </is>
      </c>
      <c r="F16" t="inlineStr">
        <is>
          <t>hard</t>
        </is>
      </c>
      <c r="G16" s="3" t="n">
        <v>10500</v>
      </c>
    </row>
    <row r="17">
      <c r="A17" t="inlineStr">
        <is>
          <t>List early months (L)</t>
        </is>
      </c>
      <c r="B17" t="n">
        <v>0</v>
      </c>
      <c r="E17" t="inlineStr">
        <is>
          <t>plumbing</t>
        </is>
      </c>
      <c r="F17" t="inlineStr">
        <is>
          <t>hard</t>
        </is>
      </c>
      <c r="G17" s="3" t="n">
        <v>33000</v>
      </c>
    </row>
    <row r="18">
      <c r="A18" t="inlineStr">
        <is>
          <t>Closing days after contract</t>
        </is>
      </c>
      <c r="B18" t="n">
        <v>35</v>
      </c>
      <c r="E18" t="inlineStr">
        <is>
          <t>electrical</t>
        </is>
      </c>
      <c r="F18" t="inlineStr">
        <is>
          <t>hard</t>
        </is>
      </c>
      <c r="G18" s="3" t="n">
        <v>29700</v>
      </c>
    </row>
    <row r="19">
      <c r="A19" t="inlineStr">
        <is>
          <t>Days per month</t>
        </is>
      </c>
      <c r="B19" s="5">
        <f>365/12</f>
        <v/>
      </c>
      <c r="E19" t="inlineStr">
        <is>
          <t>hvac</t>
        </is>
      </c>
      <c r="F19" t="inlineStr">
        <is>
          <t>hard</t>
        </is>
      </c>
      <c r="G19" s="3" t="n">
        <v>26500</v>
      </c>
    </row>
    <row r="20">
      <c r="E20" t="inlineStr">
        <is>
          <t>drywall</t>
        </is>
      </c>
      <c r="F20" t="inlineStr">
        <is>
          <t>hard</t>
        </is>
      </c>
      <c r="G20" s="3" t="n">
        <v>30000</v>
      </c>
    </row>
    <row r="21">
      <c r="A21" s="2" t="inlineStr">
        <is>
          <t>Construction loan</t>
        </is>
      </c>
      <c r="E21" t="inlineStr">
        <is>
          <t>trim</t>
        </is>
      </c>
      <c r="F21" t="inlineStr">
        <is>
          <t>hard</t>
        </is>
      </c>
      <c r="G21" s="3" t="n">
        <v>24500</v>
      </c>
    </row>
    <row r="22">
      <c r="A22" t="inlineStr">
        <is>
          <t>Loan-to-cost</t>
        </is>
      </c>
      <c r="B22" s="4" t="n">
        <v>0.8</v>
      </c>
      <c r="E22" t="inlineStr">
        <is>
          <t>cabinets</t>
        </is>
      </c>
      <c r="F22" t="inlineStr">
        <is>
          <t>hard</t>
        </is>
      </c>
      <c r="G22" s="3" t="n">
        <v>54000</v>
      </c>
    </row>
    <row r="23">
      <c r="A23" t="inlineStr">
        <is>
          <t>Rate (annual)</t>
        </is>
      </c>
      <c r="B23" s="4" t="n">
        <v>0.09</v>
      </c>
      <c r="E23" t="inlineStr">
        <is>
          <t>flooring</t>
        </is>
      </c>
      <c r="F23" t="inlineStr">
        <is>
          <t>hard</t>
        </is>
      </c>
      <c r="G23" s="3" t="n">
        <v>31000</v>
      </c>
    </row>
    <row r="24">
      <c r="A24" t="inlineStr">
        <is>
          <t>Points</t>
        </is>
      </c>
      <c r="B24" s="4" t="n">
        <v>0.01</v>
      </c>
      <c r="E24" t="inlineStr">
        <is>
          <t>paint</t>
        </is>
      </c>
      <c r="F24" t="inlineStr">
        <is>
          <t>hard</t>
        </is>
      </c>
      <c r="G24" s="3" t="n">
        <v>18000</v>
      </c>
    </row>
    <row r="25">
      <c r="A25" t="inlineStr">
        <is>
          <t>Draw fee per draw</t>
        </is>
      </c>
      <c r="B25" s="3" t="n">
        <v>200</v>
      </c>
      <c r="E25" t="inlineStr">
        <is>
          <t>fixtures</t>
        </is>
      </c>
      <c r="F25" t="inlineStr">
        <is>
          <t>hard</t>
        </is>
      </c>
      <c r="G25" s="3" t="n">
        <v>24000</v>
      </c>
    </row>
    <row r="26">
      <c r="A26" t="inlineStr">
        <is>
          <t>Term months (from build start)</t>
        </is>
      </c>
      <c r="B26" t="n">
        <v>12</v>
      </c>
      <c r="E26" t="inlineStr">
        <is>
          <t>garageDoors</t>
        </is>
      </c>
      <c r="F26" t="inlineStr">
        <is>
          <t>hard</t>
        </is>
      </c>
      <c r="G26" s="3" t="n">
        <v>6800</v>
      </c>
    </row>
    <row r="27">
      <c r="A27" t="inlineStr">
        <is>
          <t>Extension fee</t>
        </is>
      </c>
      <c r="B27" s="4" t="n">
        <v>0.005</v>
      </c>
      <c r="C27" t="inlineStr">
        <is>
          <t>of the commitment, per extension</t>
        </is>
      </c>
      <c r="E27" t="inlineStr">
        <is>
          <t>flatwork</t>
        </is>
      </c>
      <c r="F27" t="inlineStr">
        <is>
          <t>hard</t>
        </is>
      </c>
      <c r="G27" s="3" t="n">
        <v>16500</v>
      </c>
    </row>
    <row r="28">
      <c r="A28" t="inlineStr">
        <is>
          <t>Extension months</t>
        </is>
      </c>
      <c r="B28" t="n">
        <v>3</v>
      </c>
      <c r="E28" t="inlineStr">
        <is>
          <t>landscaping</t>
        </is>
      </c>
      <c r="F28" t="inlineStr">
        <is>
          <t>hard</t>
        </is>
      </c>
      <c r="G28" s="3" t="n">
        <v>20000</v>
      </c>
    </row>
    <row r="29">
      <c r="A29" t="inlineStr">
        <is>
          <t>Interest mode</t>
        </is>
      </c>
      <c r="B29" t="inlineStr">
        <is>
          <t>paid</t>
        </is>
      </c>
      <c r="C29" t="inlineStr">
        <is>
          <t>paid | capitalized</t>
        </is>
      </c>
      <c r="E29" t="inlineStr">
        <is>
          <t>cleaning</t>
        </is>
      </c>
      <c r="F29" t="inlineStr">
        <is>
          <t>hard</t>
        </is>
      </c>
      <c r="G29" s="3" t="n">
        <v>4150</v>
      </c>
    </row>
    <row r="30">
      <c r="E30" t="inlineStr">
        <is>
          <t>supervision</t>
        </is>
      </c>
      <c r="F30" t="inlineStr">
        <is>
          <t>hard</t>
        </is>
      </c>
      <c r="G30" s="3" t="n">
        <v>33300</v>
      </c>
    </row>
    <row r="31">
      <c r="A31" s="2" t="inlineStr">
        <is>
          <t>Carry</t>
        </is>
      </c>
    </row>
    <row r="32">
      <c r="A32" t="inlineStr">
        <is>
          <t>Builder's risk insurance (annual, of estimate)</t>
        </is>
      </c>
      <c r="B32" s="4" t="n">
        <v>0.0035</v>
      </c>
      <c r="E32" t="inlineStr">
        <is>
          <t>Bid subtotal</t>
        </is>
      </c>
      <c r="G32" s="3">
        <f>SUM(G6:G30)</f>
        <v/>
      </c>
    </row>
    <row r="33">
      <c r="A33" t="inlineStr">
        <is>
          <t>Utilities per month, during build</t>
        </is>
      </c>
      <c r="B33" s="3" t="n">
        <v>150</v>
      </c>
      <c r="E33" t="inlineStr">
        <is>
          <t>Contingency rate</t>
        </is>
      </c>
      <c r="G33" s="4" t="n">
        <v>0.05</v>
      </c>
    </row>
    <row r="34">
      <c r="A34" t="inlineStr">
        <is>
          <t>Utilities per month, after completion</t>
        </is>
      </c>
      <c r="B34" s="3" t="n">
        <v>250</v>
      </c>
      <c r="E34" t="inlineStr">
        <is>
          <t>Contingency</t>
        </is>
      </c>
      <c r="G34" s="3">
        <f>ROUND(BidSubtotal*ContingencyPct,2)</f>
        <v/>
      </c>
    </row>
    <row r="35">
      <c r="A35" t="inlineStr">
        <is>
          <t>Staging per month, while listed</t>
        </is>
      </c>
      <c r="B35" s="3" t="n">
        <v>500</v>
      </c>
      <c r="E35" t="inlineStr">
        <is>
          <t>Estimate total</t>
        </is>
      </c>
      <c r="G35" s="3">
        <f>BidSubtotal+Contingency</f>
        <v/>
      </c>
    </row>
    <row r="36">
      <c r="A36" t="inlineStr">
        <is>
          <t>Upkeep per month, after completion</t>
        </is>
      </c>
      <c r="B36" s="3" t="n">
        <v>100</v>
      </c>
      <c r="E36" t="inlineStr">
        <is>
          <t>Soft costs (division soft)</t>
        </is>
      </c>
      <c r="G36" s="3">
        <f>SUMIF(F6:F30,"soft",G6:G30)</f>
        <v/>
      </c>
    </row>
    <row r="37">
      <c r="E37" t="inlineStr">
        <is>
          <t>Hard costs (incl. contingency)</t>
        </is>
      </c>
      <c r="G37" s="3">
        <f>EstimateTotal-SoftCost</f>
        <v/>
      </c>
    </row>
    <row r="38">
      <c r="A38" s="2" t="inlineStr">
        <is>
          <t>Selling</t>
        </is>
      </c>
    </row>
    <row r="39">
      <c r="A39" t="inlineStr">
        <is>
          <t>Listing commission</t>
        </is>
      </c>
      <c r="B39" s="4" t="n">
        <v>0.025</v>
      </c>
    </row>
    <row r="40">
      <c r="A40" t="inlineStr">
        <is>
          <t>Buyer-agent commission</t>
        </is>
      </c>
      <c r="B40" s="4" t="n">
        <v>0.025</v>
      </c>
    </row>
    <row r="41">
      <c r="A41" t="inlineStr">
        <is>
          <t>Closing and title</t>
        </is>
      </c>
      <c r="B41" s="4" t="n">
        <v>0.01</v>
      </c>
    </row>
    <row r="42">
      <c r="A42" t="inlineStr">
        <is>
          <t>Concessions</t>
        </is>
      </c>
      <c r="B42" s="3" t="n">
        <v>15000</v>
      </c>
    </row>
    <row r="44">
      <c r="A44" s="2" t="inlineStr">
        <is>
          <t>Scenarios</t>
        </is>
      </c>
    </row>
    <row r="45">
      <c r="A45" s="2" t="inlineStr">
        <is>
          <t>Scenario</t>
        </is>
      </c>
      <c r="B45" s="2" t="inlineStr">
        <is>
          <t>Sale price</t>
        </is>
      </c>
      <c r="C45" s="2" t="inlineStr">
        <is>
          <t>Days on market</t>
        </is>
      </c>
      <c r="D45" s="2" t="inlineStr">
        <is>
          <t>Overrun</t>
        </is>
      </c>
    </row>
    <row r="46">
      <c r="A46" t="inlineStr">
        <is>
          <t>base</t>
        </is>
      </c>
      <c r="B46" s="3" t="n">
        <v>1350000</v>
      </c>
      <c r="C46" t="n">
        <v>62</v>
      </c>
      <c r="D46" s="4" t="n">
        <v>0</v>
      </c>
    </row>
    <row r="47">
      <c r="A47" t="inlineStr">
        <is>
          <t>stress</t>
        </is>
      </c>
      <c r="B47" s="3" t="n">
        <v>1255500</v>
      </c>
      <c r="C47" t="n">
        <v>400</v>
      </c>
      <c r="D47" s="4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9"/>
  <sheetViews>
    <sheetView workbookViewId="0">
      <pane xSplit="1" ySplit="64" topLeftCell="B6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6" max="36"/>
    <col width="16" customWidth="1" min="37" max="37"/>
  </cols>
  <sheetData>
    <row r="1">
      <c r="A1" s="1" t="inlineStr">
        <is>
          <t>Golden deal - base scenario</t>
        </is>
      </c>
    </row>
    <row r="2">
      <c r="A2" t="inlineStr">
        <is>
          <t>Every value below is a formula implementing the Reference cash-flow algorithm (dollars).</t>
        </is>
      </c>
    </row>
    <row r="4">
      <c r="A4" s="2" t="inlineStr">
        <is>
          <t>Scenario inputs</t>
        </is>
      </c>
    </row>
    <row r="5">
      <c r="A5" t="inlineStr">
        <is>
          <t>Sale price</t>
        </is>
      </c>
      <c r="B5" s="3">
        <f>Inputs!$B$46</f>
        <v/>
      </c>
    </row>
    <row r="6">
      <c r="A6" t="inlineStr">
        <is>
          <t>Days on market</t>
        </is>
      </c>
      <c r="B6">
        <f>Inputs!$C$46</f>
        <v/>
      </c>
    </row>
    <row r="7">
      <c r="A7" t="inlineStr">
        <is>
          <t>Cost overrun</t>
        </is>
      </c>
      <c r="B7" s="4">
        <f>Inputs!$D$46</f>
        <v/>
      </c>
    </row>
    <row r="9">
      <c r="A9" s="2" t="inlineStr">
        <is>
          <t>Times (months) - Reference step 1</t>
        </is>
      </c>
    </row>
    <row r="10">
      <c r="A10" t="inlineStr">
        <is>
          <t>Build start = P</t>
        </is>
      </c>
      <c r="B10" s="5">
        <f>PreConMonths</f>
        <v/>
      </c>
    </row>
    <row r="11">
      <c r="A11" t="inlineStr">
        <is>
          <t>Completion = P + B</t>
        </is>
      </c>
      <c r="B11" s="5">
        <f>BuildStart+BuildMonths</f>
        <v/>
      </c>
    </row>
    <row r="12">
      <c r="A12" t="inlineStr">
        <is>
          <t>List = completion - L</t>
        </is>
      </c>
      <c r="B12" s="5">
        <f>Completion-ListEarlyMonths</f>
        <v/>
      </c>
    </row>
    <row r="13">
      <c r="A13" t="inlineStr">
        <is>
          <t>Contract = list + DOM / MONTH_DAYS</t>
        </is>
      </c>
      <c r="B13" s="5">
        <f>ListMonth+DomDays/MonthDays</f>
        <v/>
      </c>
    </row>
    <row r="14">
      <c r="A14" t="inlineStr">
        <is>
          <t>Sale close = max(contract + closingDays / MONTH_DAYS, completion)</t>
        </is>
      </c>
      <c r="B14" s="5">
        <f>MAX(Contract+ClosingDays/MonthDays,Completion)</f>
        <v/>
      </c>
    </row>
    <row r="15">
      <c r="A15" t="inlineStr">
        <is>
          <t>Loan maturity = build start + term</t>
        </is>
      </c>
      <c r="B15" s="5">
        <f>BuildStart+TermMonths</f>
        <v/>
      </c>
    </row>
    <row r="16">
      <c r="A16" t="inlineStr">
        <is>
          <t>Periods N = ceil(sale close)</t>
        </is>
      </c>
      <c r="B16">
        <f>CEILING(SaleClose,1)</f>
        <v/>
      </c>
    </row>
    <row r="17">
      <c r="A17" t="inlineStr">
        <is>
          <t>Period rows in this sheet</t>
        </is>
      </c>
      <c r="B17">
        <f>COUNT(colK)</f>
        <v/>
      </c>
    </row>
    <row r="19">
      <c r="A19" s="2" t="inlineStr">
        <is>
          <t>Costs and loan - Reference steps 2-8</t>
        </is>
      </c>
    </row>
    <row r="20">
      <c r="A20" t="inlineStr">
        <is>
          <t>Soft actual = round(soft x (1 + overrun))</t>
        </is>
      </c>
      <c r="B20" s="3">
        <f>ROUND(SoftCost*(1+Overrun),2)</f>
        <v/>
      </c>
    </row>
    <row r="21">
      <c r="A21" t="inlineStr">
        <is>
          <t>Hard actual = round(hard x (1 + overrun))</t>
        </is>
      </c>
      <c r="B21" s="3">
        <f>ROUND(HardCost*(1+Overrun),2)</f>
        <v/>
      </c>
    </row>
    <row r="22">
      <c r="A22" t="inlineStr">
        <is>
          <t>Sum of draw sines</t>
        </is>
      </c>
      <c r="B22" s="6">
        <f>SUM(colSine)</f>
        <v/>
      </c>
    </row>
    <row r="23">
      <c r="A23" t="inlineStr">
        <is>
          <t>Loan commitment = round(LTC x estimate total)</t>
        </is>
      </c>
      <c r="B23" s="3">
        <f>ROUND(Ltc*EstimateTotal,2)</f>
        <v/>
      </c>
    </row>
    <row r="24">
      <c r="A24" t="inlineStr">
        <is>
          <t>Equity requirement = estimate total - commitment</t>
        </is>
      </c>
      <c r="B24" s="3">
        <f>EstimateTotal-Commitment</f>
        <v/>
      </c>
    </row>
    <row r="25">
      <c r="A25" t="inlineStr">
        <is>
          <t>Construction points = round(points x commitment)</t>
        </is>
      </c>
      <c r="B25" s="3">
        <f>IF(Commitment&gt;0,ROUND(PointsPct*Commitment,2),0)</f>
        <v/>
      </c>
    </row>
    <row r="26">
      <c r="A26" t="inlineStr">
        <is>
          <t>Land loan = round(LTV x land price)</t>
        </is>
      </c>
      <c r="B26" s="3">
        <f>ROUND(LandLtv*LandPrice,2)</f>
        <v/>
      </c>
    </row>
    <row r="27">
      <c r="A27" t="inlineStr">
        <is>
          <t>Land points = round(points x land loan)</t>
        </is>
      </c>
      <c r="B27" s="3">
        <f>ROUND(LandPointsPct*LandLoan,2)</f>
        <v/>
      </c>
    </row>
    <row r="28">
      <c r="A28" t="inlineStr">
        <is>
          <t>Extensions n</t>
        </is>
      </c>
      <c r="B28">
        <f>IF(AND(Commitment&gt;0,SaleClose&gt;Maturity),CEILING((SaleClose-Maturity)/ExtensionMonths,1),0)</f>
        <v/>
      </c>
    </row>
    <row r="29">
      <c r="A29" t="inlineStr">
        <is>
          <t>Extension fee each = round(extension % x commitment)</t>
        </is>
      </c>
      <c r="B29" s="3">
        <f>ROUND(ExtensionPct*Commitment,2)</f>
        <v/>
      </c>
    </row>
    <row r="30">
      <c r="A30" t="inlineStr">
        <is>
          <t>Interest capitalized (1 = yes)</t>
        </is>
      </c>
      <c r="B30">
        <f>IF(InterestMode="capitalized",1,0)</f>
        <v/>
      </c>
    </row>
    <row r="32">
      <c r="A32" s="2" t="inlineStr">
        <is>
          <t>Sale (at sale close, booked on period N-1) - Reference step 11</t>
        </is>
      </c>
    </row>
    <row r="33">
      <c r="A33" t="inlineStr">
        <is>
          <t>Commissions = round(price x (listing + buyer))</t>
        </is>
      </c>
      <c r="B33" s="3">
        <f>ROUND(SalePrice*(ListingPct+BuyerPct),2)</f>
        <v/>
      </c>
    </row>
    <row r="34">
      <c r="A34" t="inlineStr">
        <is>
          <t>Closing = round(price x closing %)</t>
        </is>
      </c>
      <c r="B34" s="3">
        <f>ROUND(SalePrice*ClosingPct,2)</f>
        <v/>
      </c>
    </row>
    <row r="35">
      <c r="A35" t="inlineStr">
        <is>
          <t>Concessions</t>
        </is>
      </c>
      <c r="B35" s="3">
        <f>Concessions</f>
        <v/>
      </c>
    </row>
    <row r="36">
      <c r="A36" t="inlineStr">
        <is>
          <t>Net = price - commissions - closing - concessions</t>
        </is>
      </c>
      <c r="B36" s="3">
        <f>SalePrice-Commissions-SaleClosing-SaleConcessions</f>
        <v/>
      </c>
    </row>
    <row r="37">
      <c r="A37" t="inlineStr">
        <is>
          <t>Loan drawn</t>
        </is>
      </c>
      <c r="B37" s="3">
        <f>SUM(colLoanDraw)</f>
        <v/>
      </c>
    </row>
    <row r="38">
      <c r="A38" t="inlineStr">
        <is>
          <t>Capitalized interest</t>
        </is>
      </c>
      <c r="B38" s="3">
        <f>SUM(colInterestCap)</f>
        <v/>
      </c>
    </row>
    <row r="39">
      <c r="A39" t="inlineStr">
        <is>
          <t>Loan payoff = drawn + capitalized interest + land loan</t>
        </is>
      </c>
      <c r="B39" s="3">
        <f>LoanDrawn+CapInterest+LandLoan</f>
        <v/>
      </c>
    </row>
    <row r="40">
      <c r="A40" t="inlineStr">
        <is>
          <t>Equity return = net - payoff</t>
        </is>
      </c>
      <c r="B40" s="3">
        <f>NetProceeds-Payoff</f>
        <v/>
      </c>
    </row>
    <row r="42">
      <c r="A42" s="2" t="inlineStr">
        <is>
          <t>Totals and metrics - Reference steps 12-15</t>
        </is>
      </c>
    </row>
    <row r="43">
      <c r="A43" t="inlineStr">
        <is>
          <t>Build spent = soft actual + hard actual</t>
        </is>
      </c>
      <c r="B43" s="3">
        <f>SoftActual+HardActual</f>
        <v/>
      </c>
    </row>
    <row r="44">
      <c r="A44" t="inlineStr">
        <is>
          <t>Financing</t>
        </is>
      </c>
      <c r="B44" s="3">
        <f>SUM(colPoints)+LandPoints+SUM(colInterest)+SUM(colLandInterest)+SUM(colDrawFee)+SUM(colExtensionFee)</f>
        <v/>
      </c>
    </row>
    <row r="45">
      <c r="A45" t="inlineStr">
        <is>
          <t>Carry</t>
        </is>
      </c>
      <c r="B45" s="3">
        <f>SUM(colTax)+SUM(colInsurance)+SUM(colUtilities)+SUM(colStaging)+SUM(colUpkeep)+SUM(colHoa)</f>
        <v/>
      </c>
    </row>
    <row r="46">
      <c r="A46" t="inlineStr">
        <is>
          <t>Total project cost</t>
        </is>
      </c>
      <c r="B46" s="3">
        <f>LandPrice+LandClosing+BuildSpent+Financing+Carry</f>
        <v/>
      </c>
    </row>
    <row r="47">
      <c r="A47" t="inlineStr">
        <is>
          <t>Selling costs</t>
        </is>
      </c>
      <c r="B47" s="3">
        <f>Commissions+SaleClosing+SaleConcessions</f>
        <v/>
      </c>
    </row>
    <row r="48">
      <c r="A48" t="inlineStr">
        <is>
          <t>Profit</t>
        </is>
      </c>
      <c r="B48" s="3">
        <f>SalePrice-SellingCosts-TotalProjectCost</f>
        <v/>
      </c>
    </row>
    <row r="49">
      <c r="A49" t="inlineStr">
        <is>
          <t>Peak cash</t>
        </is>
      </c>
      <c r="B49" s="3">
        <f>MAX(colCumEquity)</f>
        <v/>
      </c>
    </row>
    <row r="50">
      <c r="A50" t="inlineStr">
        <is>
          <t>Break-even sale price</t>
        </is>
      </c>
      <c r="B50" s="3">
        <f>ROUND((TotalProjectCost+Concessions)/(1-ListingPct-BuyerPct-ClosingPct),2)</f>
        <v/>
      </c>
    </row>
    <row r="51">
      <c r="A51" t="inlineStr">
        <is>
          <t>Loan balance after period completion - 1</t>
        </is>
      </c>
      <c r="B51" s="3">
        <f>INDEX(colBalanceEnd,Completion)</f>
        <v/>
      </c>
    </row>
    <row r="52">
      <c r="A52" t="inlineStr">
        <is>
          <t>Monthly burn while listed</t>
        </is>
      </c>
      <c r="B52" s="3">
        <f>ROUND(BalanceAtCompletion*LoanRate/12,2)+ROUND(LandLoan*LandRate/12,2)+ROUND(TaxRate/12*(LandPrice+BuildSpent),2)+ROUND(InsuranceRate/12*EstimateTotal,2)+UtilAfter+StagingMonthly+UpkeepMonthly+HoaMonthly</f>
        <v/>
      </c>
    </row>
    <row r="53">
      <c r="A53" t="inlineStr">
        <is>
          <t>Max DOM without extension (blank = no loan)</t>
        </is>
      </c>
      <c r="B53">
        <f>IF(Commitment=0,"",MAX(0,INT((Maturity-ListMonth)*MonthDays-ClosingDays)))</f>
        <v/>
      </c>
    </row>
    <row r="55">
      <c r="A55" s="2" t="inlineStr">
        <is>
          <t>Checks (each should be 0)</t>
        </is>
      </c>
    </row>
    <row r="56">
      <c r="A56" t="inlineStr">
        <is>
          <t>N - period rows</t>
        </is>
      </c>
      <c r="B56">
        <f>PeriodCount-RowsInSchedule</f>
        <v/>
      </c>
    </row>
    <row r="57">
      <c r="A57" t="inlineStr">
        <is>
          <t>Sum of spend - build spent</t>
        </is>
      </c>
      <c r="B57" s="3">
        <f>SUM(colSpend)-BuildSpent</f>
        <v/>
      </c>
    </row>
    <row r="58">
      <c r="A58" t="inlineStr">
        <is>
          <t>Sum of equity spend + loan draws - build spent</t>
        </is>
      </c>
      <c r="B58" s="3">
        <f>SUM(colEquitySpend)+SUM(colLoanDraw)-BuildSpent</f>
        <v/>
      </c>
    </row>
    <row r="59">
      <c r="A59" t="inlineStr">
        <is>
          <t>Equity return - sum of equity out - profit</t>
        </is>
      </c>
      <c r="B59" s="3">
        <f>EquityReturn-SUM(colEquityOut)-Profit</f>
        <v/>
      </c>
    </row>
    <row r="63">
      <c r="A63" s="2" t="inlineStr">
        <is>
          <t>Monthly schedule (one row per period k)</t>
        </is>
      </c>
    </row>
    <row r="64">
      <c r="A64" s="2" t="inlineStr">
        <is>
          <t>Period k</t>
        </is>
      </c>
      <c r="B64" s="2" t="inlineStr">
        <is>
          <t>Overlap build start-&gt;sale close</t>
        </is>
      </c>
      <c r="C64" s="2" t="inlineStr">
        <is>
          <t>Overlap 0-&gt;sale close</t>
        </is>
      </c>
      <c r="D64" s="2" t="inlineStr">
        <is>
          <t>Overlap build start-&gt;completion</t>
        </is>
      </c>
      <c r="E64" s="2" t="inlineStr">
        <is>
          <t>Overlap completion-&gt;sale close</t>
        </is>
      </c>
      <c r="F64" s="2" t="inlineStr">
        <is>
          <t>Overlap list-&gt;contract</t>
        </is>
      </c>
      <c r="G64" s="2" t="inlineStr">
        <is>
          <t>Draw sine sin(pi(i+0.5)/B)</t>
        </is>
      </c>
      <c r="H64" s="2" t="inlineStr">
        <is>
          <t>Hard-cost draw</t>
        </is>
      </c>
      <c r="I64" s="2" t="inlineStr">
        <is>
          <t>Spend x</t>
        </is>
      </c>
      <c r="J64" s="2" t="inlineStr">
        <is>
          <t>Spend before (S)</t>
        </is>
      </c>
      <c r="K64" s="2" t="inlineStr">
        <is>
          <t>Loan drawn before</t>
        </is>
      </c>
      <c r="L64" s="2" t="inlineStr">
        <is>
          <t>Equity first</t>
        </is>
      </c>
      <c r="M64" s="2" t="inlineStr">
        <is>
          <t>Loan draw (ln)</t>
        </is>
      </c>
      <c r="N64" s="2" t="inlineStr">
        <is>
          <t>Equity spend (eq)</t>
        </is>
      </c>
      <c r="O64" s="2" t="inlineStr">
        <is>
          <t>Spend through period</t>
        </is>
      </c>
      <c r="P64" s="2" t="inlineStr">
        <is>
          <t>Loan drawn through period</t>
        </is>
      </c>
      <c r="Q64" s="2" t="inlineStr">
        <is>
          <t>Loan balance at start</t>
        </is>
      </c>
      <c r="R64" s="2" t="inlineStr">
        <is>
          <t>Construction points</t>
        </is>
      </c>
      <c r="S64" s="2" t="inlineStr">
        <is>
          <t>Draw fee</t>
        </is>
      </c>
      <c r="T64" s="2" t="inlineStr">
        <is>
          <t>Construction interest</t>
        </is>
      </c>
      <c r="U64" s="2" t="inlineStr">
        <is>
          <t>Interest paid</t>
        </is>
      </c>
      <c r="V64" s="2" t="inlineStr">
        <is>
          <t>Interest capitalized</t>
        </is>
      </c>
      <c r="W64" s="2" t="inlineStr">
        <is>
          <t>Loan balance at end</t>
        </is>
      </c>
      <c r="X64" s="2" t="inlineStr">
        <is>
          <t>Land loan interest</t>
        </is>
      </c>
      <c r="Y64" s="2" t="inlineStr">
        <is>
          <t>Extension fees</t>
        </is>
      </c>
      <c r="Z64" s="2" t="inlineStr">
        <is>
          <t>Property tax</t>
        </is>
      </c>
      <c r="AA64" s="2" t="inlineStr">
        <is>
          <t>Insurance</t>
        </is>
      </c>
      <c r="AB64" s="2" t="inlineStr">
        <is>
          <t>Utilities</t>
        </is>
      </c>
      <c r="AC64" s="2" t="inlineStr">
        <is>
          <t>Staging</t>
        </is>
      </c>
      <c r="AD64" s="2" t="inlineStr">
        <is>
          <t>Upkeep</t>
        </is>
      </c>
      <c r="AE64" s="2" t="inlineStr">
        <is>
          <t>HOA</t>
        </is>
      </c>
      <c r="AF64" s="2" t="inlineStr">
        <is>
          <t>Land purchase (equity)</t>
        </is>
      </c>
      <c r="AG64" s="2" t="inlineStr">
        <is>
          <t>Equity out</t>
        </is>
      </c>
      <c r="AH64" s="2" t="inlineStr">
        <is>
          <t>Cumulative equity out</t>
        </is>
      </c>
      <c r="AI64" s="2" t="inlineStr"/>
      <c r="AJ64" s="2" t="inlineStr">
        <is>
          <t>Extension j</t>
        </is>
      </c>
      <c r="AK64" s="2" t="inlineStr">
        <is>
          <t>Extension j fee period</t>
        </is>
      </c>
    </row>
    <row r="65">
      <c r="A65">
        <f>0</f>
        <v/>
      </c>
      <c r="B65" s="5">
        <f>MAX(0,MIN(A65+1,SaleClose)-MAX(A65,BuildStart))</f>
        <v/>
      </c>
      <c r="C65" s="5">
        <f>MAX(0,MIN(A65+1,SaleClose)-MAX(A65,0))</f>
        <v/>
      </c>
      <c r="D65" s="5">
        <f>MAX(0,MIN(A65+1,Completion)-MAX(A65,BuildStart))</f>
        <v/>
      </c>
      <c r="E65" s="5">
        <f>MAX(0,MIN(A65+1,SaleClose)-MAX(A65,Completion))</f>
        <v/>
      </c>
      <c r="F65" s="5">
        <f>MAX(0,MIN(A65+1,Contract)-MAX(A65,ListMonth))</f>
        <v/>
      </c>
      <c r="G65" s="6">
        <f>IF(AND(A65&gt;=BuildStart,A65&lt;BuildStart+BuildMonths),SIN(PI()*(A65-BuildStart+0.5)/BuildMonths),0)</f>
        <v/>
      </c>
      <c r="H65" s="3">
        <f>IF(AND(A65&gt;=BuildStart,A65&lt;BuildStart+BuildMonths-1),ROUND(HardActual*(G65/DrawWeightSum),2),IF(A65=BuildStart+BuildMonths-1,HardActual-0,0))</f>
        <v/>
      </c>
      <c r="I65" s="3">
        <f>IF(A65=0,SoftActual,0)+H65</f>
        <v/>
      </c>
      <c r="J65" s="3">
        <f>0</f>
        <v/>
      </c>
      <c r="K65" s="3">
        <f>0</f>
        <v/>
      </c>
      <c r="L65" s="3">
        <f>MIN(I65,MAX(0,EquityReq-J65))</f>
        <v/>
      </c>
      <c r="M65" s="3">
        <f>MIN(I65-L65,Commitment-K65)</f>
        <v/>
      </c>
      <c r="N65" s="3">
        <f>L65+(I65-L65-M65)</f>
        <v/>
      </c>
      <c r="O65" s="3">
        <f>J65+I65</f>
        <v/>
      </c>
      <c r="P65" s="3">
        <f>K65+M65</f>
        <v/>
      </c>
      <c r="Q65" s="3">
        <f>0</f>
        <v/>
      </c>
      <c r="R65" s="3">
        <f>IF(AND(A65=BuildStart,Commitment&gt;0),ConstrPoints,0)</f>
        <v/>
      </c>
      <c r="S65" s="3">
        <f>IF(M65&gt;0,DrawFee,0)</f>
        <v/>
      </c>
      <c r="T65" s="3">
        <f>ROUND(Q65*LoanRate/12*B65,2)</f>
        <v/>
      </c>
      <c r="U65" s="3">
        <f>IF(CapFlag=1,0,T65)</f>
        <v/>
      </c>
      <c r="V65" s="3">
        <f>IF(CapFlag=1,T65,0)</f>
        <v/>
      </c>
      <c r="W65" s="3">
        <f>Q65+M65+V65</f>
        <v/>
      </c>
      <c r="X65" s="3">
        <f>ROUND(LandLoan*LandRate/12*C65,2)</f>
        <v/>
      </c>
      <c r="Y65" s="3">
        <f>COUNTIF(colExtPeriod,A65)*ExtFee</f>
        <v/>
      </c>
      <c r="Z65" s="3">
        <f>ROUND(TaxRate/12*(LandPrice+O65)*C65,2)</f>
        <v/>
      </c>
      <c r="AA65" s="3">
        <f>ROUND(InsuranceRate/12*EstimateTotal*B65,2)</f>
        <v/>
      </c>
      <c r="AB65" s="3">
        <f>ROUND(UtilBuild*D65+UtilAfter*E65,2)</f>
        <v/>
      </c>
      <c r="AC65" s="3">
        <f>ROUND(StagingMonthly*F65,2)</f>
        <v/>
      </c>
      <c r="AD65" s="3">
        <f>ROUND(UpkeepMonthly*E65,2)</f>
        <v/>
      </c>
      <c r="AE65" s="3">
        <f>ROUND(HoaMonthly*C65,2)</f>
        <v/>
      </c>
      <c r="AF65" s="3">
        <f>IF(A65=0,LandPrice-LandLoan+LandClosing+LandPoints,0)</f>
        <v/>
      </c>
      <c r="AG65" s="3">
        <f>AF65+N65+R65+S65+U65+X65+Y65+Z65+AA65+AB65+AC65+AD65+AE65</f>
        <v/>
      </c>
      <c r="AH65" s="3">
        <f>AG65</f>
        <v/>
      </c>
      <c r="AJ65">
        <f>A65</f>
        <v/>
      </c>
      <c r="AK65">
        <f>IF(AJ65&lt;ExtCount,INT(Maturity+AJ65*ExtensionMonths),"")</f>
        <v/>
      </c>
    </row>
    <row r="66">
      <c r="A66">
        <f>A65+1</f>
        <v/>
      </c>
      <c r="B66" s="5">
        <f>MAX(0,MIN(A66+1,SaleClose)-MAX(A66,BuildStart))</f>
        <v/>
      </c>
      <c r="C66" s="5">
        <f>MAX(0,MIN(A66+1,SaleClose)-MAX(A66,0))</f>
        <v/>
      </c>
      <c r="D66" s="5">
        <f>MAX(0,MIN(A66+1,Completion)-MAX(A66,BuildStart))</f>
        <v/>
      </c>
      <c r="E66" s="5">
        <f>MAX(0,MIN(A66+1,SaleClose)-MAX(A66,Completion))</f>
        <v/>
      </c>
      <c r="F66" s="5">
        <f>MAX(0,MIN(A66+1,Contract)-MAX(A66,ListMonth))</f>
        <v/>
      </c>
      <c r="G66" s="6">
        <f>IF(AND(A66&gt;=BuildStart,A66&lt;BuildStart+BuildMonths),SIN(PI()*(A66-BuildStart+0.5)/BuildMonths),0)</f>
        <v/>
      </c>
      <c r="H66" s="3">
        <f>IF(AND(A66&gt;=BuildStart,A66&lt;BuildStart+BuildMonths-1),ROUND(HardActual*(G66/DrawWeightSum),2),IF(A66=BuildStart+BuildMonths-1,HardActual-SUM(H$65:H65),0))</f>
        <v/>
      </c>
      <c r="I66" s="3">
        <f>IF(A66=0,SoftActual,0)+H66</f>
        <v/>
      </c>
      <c r="J66" s="3">
        <f>O65</f>
        <v/>
      </c>
      <c r="K66" s="3">
        <f>P65</f>
        <v/>
      </c>
      <c r="L66" s="3">
        <f>MIN(I66,MAX(0,EquityReq-J66))</f>
        <v/>
      </c>
      <c r="M66" s="3">
        <f>MIN(I66-L66,Commitment-K66)</f>
        <v/>
      </c>
      <c r="N66" s="3">
        <f>L66+(I66-L66-M66)</f>
        <v/>
      </c>
      <c r="O66" s="3">
        <f>J66+I66</f>
        <v/>
      </c>
      <c r="P66" s="3">
        <f>K66+M66</f>
        <v/>
      </c>
      <c r="Q66" s="3">
        <f>W65</f>
        <v/>
      </c>
      <c r="R66" s="3">
        <f>IF(AND(A66=BuildStart,Commitment&gt;0),ConstrPoints,0)</f>
        <v/>
      </c>
      <c r="S66" s="3">
        <f>IF(M66&gt;0,DrawFee,0)</f>
        <v/>
      </c>
      <c r="T66" s="3">
        <f>ROUND(Q66*LoanRate/12*B66,2)</f>
        <v/>
      </c>
      <c r="U66" s="3">
        <f>IF(CapFlag=1,0,T66)</f>
        <v/>
      </c>
      <c r="V66" s="3">
        <f>IF(CapFlag=1,T66,0)</f>
        <v/>
      </c>
      <c r="W66" s="3">
        <f>Q66+M66+V66</f>
        <v/>
      </c>
      <c r="X66" s="3">
        <f>ROUND(LandLoan*LandRate/12*C66,2)</f>
        <v/>
      </c>
      <c r="Y66" s="3">
        <f>COUNTIF(colExtPeriod,A66)*ExtFee</f>
        <v/>
      </c>
      <c r="Z66" s="3">
        <f>ROUND(TaxRate/12*(LandPrice+O66)*C66,2)</f>
        <v/>
      </c>
      <c r="AA66" s="3">
        <f>ROUND(InsuranceRate/12*EstimateTotal*B66,2)</f>
        <v/>
      </c>
      <c r="AB66" s="3">
        <f>ROUND(UtilBuild*D66+UtilAfter*E66,2)</f>
        <v/>
      </c>
      <c r="AC66" s="3">
        <f>ROUND(StagingMonthly*F66,2)</f>
        <v/>
      </c>
      <c r="AD66" s="3">
        <f>ROUND(UpkeepMonthly*E66,2)</f>
        <v/>
      </c>
      <c r="AE66" s="3">
        <f>ROUND(HoaMonthly*C66,2)</f>
        <v/>
      </c>
      <c r="AF66" s="3">
        <f>IF(A66=0,LandPrice-LandLoan+LandClosing+LandPoints,0)</f>
        <v/>
      </c>
      <c r="AG66" s="3">
        <f>AF66+N66+R66+S66+U66+X66+Y66+Z66+AA66+AB66+AC66+AD66+AE66</f>
        <v/>
      </c>
      <c r="AH66" s="3">
        <f>AH65+AG66</f>
        <v/>
      </c>
      <c r="AJ66">
        <f>A66</f>
        <v/>
      </c>
      <c r="AK66">
        <f>IF(AJ66&lt;ExtCount,INT(Maturity+AJ66*ExtensionMonths),"")</f>
        <v/>
      </c>
    </row>
    <row r="67">
      <c r="A67">
        <f>A66+1</f>
        <v/>
      </c>
      <c r="B67" s="5">
        <f>MAX(0,MIN(A67+1,SaleClose)-MAX(A67,BuildStart))</f>
        <v/>
      </c>
      <c r="C67" s="5">
        <f>MAX(0,MIN(A67+1,SaleClose)-MAX(A67,0))</f>
        <v/>
      </c>
      <c r="D67" s="5">
        <f>MAX(0,MIN(A67+1,Completion)-MAX(A67,BuildStart))</f>
        <v/>
      </c>
      <c r="E67" s="5">
        <f>MAX(0,MIN(A67+1,SaleClose)-MAX(A67,Completion))</f>
        <v/>
      </c>
      <c r="F67" s="5">
        <f>MAX(0,MIN(A67+1,Contract)-MAX(A67,ListMonth))</f>
        <v/>
      </c>
      <c r="G67" s="6">
        <f>IF(AND(A67&gt;=BuildStart,A67&lt;BuildStart+BuildMonths),SIN(PI()*(A67-BuildStart+0.5)/BuildMonths),0)</f>
        <v/>
      </c>
      <c r="H67" s="3">
        <f>IF(AND(A67&gt;=BuildStart,A67&lt;BuildStart+BuildMonths-1),ROUND(HardActual*(G67/DrawWeightSum),2),IF(A67=BuildStart+BuildMonths-1,HardActual-SUM(H$65:H66),0))</f>
        <v/>
      </c>
      <c r="I67" s="3">
        <f>IF(A67=0,SoftActual,0)+H67</f>
        <v/>
      </c>
      <c r="J67" s="3">
        <f>O66</f>
        <v/>
      </c>
      <c r="K67" s="3">
        <f>P66</f>
        <v/>
      </c>
      <c r="L67" s="3">
        <f>MIN(I67,MAX(0,EquityReq-J67))</f>
        <v/>
      </c>
      <c r="M67" s="3">
        <f>MIN(I67-L67,Commitment-K67)</f>
        <v/>
      </c>
      <c r="N67" s="3">
        <f>L67+(I67-L67-M67)</f>
        <v/>
      </c>
      <c r="O67" s="3">
        <f>J67+I67</f>
        <v/>
      </c>
      <c r="P67" s="3">
        <f>K67+M67</f>
        <v/>
      </c>
      <c r="Q67" s="3">
        <f>W66</f>
        <v/>
      </c>
      <c r="R67" s="3">
        <f>IF(AND(A67=BuildStart,Commitment&gt;0),ConstrPoints,0)</f>
        <v/>
      </c>
      <c r="S67" s="3">
        <f>IF(M67&gt;0,DrawFee,0)</f>
        <v/>
      </c>
      <c r="T67" s="3">
        <f>ROUND(Q67*LoanRate/12*B67,2)</f>
        <v/>
      </c>
      <c r="U67" s="3">
        <f>IF(CapFlag=1,0,T67)</f>
        <v/>
      </c>
      <c r="V67" s="3">
        <f>IF(CapFlag=1,T67,0)</f>
        <v/>
      </c>
      <c r="W67" s="3">
        <f>Q67+M67+V67</f>
        <v/>
      </c>
      <c r="X67" s="3">
        <f>ROUND(LandLoan*LandRate/12*C67,2)</f>
        <v/>
      </c>
      <c r="Y67" s="3">
        <f>COUNTIF(colExtPeriod,A67)*ExtFee</f>
        <v/>
      </c>
      <c r="Z67" s="3">
        <f>ROUND(TaxRate/12*(LandPrice+O67)*C67,2)</f>
        <v/>
      </c>
      <c r="AA67" s="3">
        <f>ROUND(InsuranceRate/12*EstimateTotal*B67,2)</f>
        <v/>
      </c>
      <c r="AB67" s="3">
        <f>ROUND(UtilBuild*D67+UtilAfter*E67,2)</f>
        <v/>
      </c>
      <c r="AC67" s="3">
        <f>ROUND(StagingMonthly*F67,2)</f>
        <v/>
      </c>
      <c r="AD67" s="3">
        <f>ROUND(UpkeepMonthly*E67,2)</f>
        <v/>
      </c>
      <c r="AE67" s="3">
        <f>ROUND(HoaMonthly*C67,2)</f>
        <v/>
      </c>
      <c r="AF67" s="3">
        <f>IF(A67=0,LandPrice-LandLoan+LandClosing+LandPoints,0)</f>
        <v/>
      </c>
      <c r="AG67" s="3">
        <f>AF67+N67+R67+S67+U67+X67+Y67+Z67+AA67+AB67+AC67+AD67+AE67</f>
        <v/>
      </c>
      <c r="AH67" s="3">
        <f>AH66+AG67</f>
        <v/>
      </c>
      <c r="AJ67">
        <f>A67</f>
        <v/>
      </c>
      <c r="AK67">
        <f>IF(AJ67&lt;ExtCount,INT(Maturity+AJ67*ExtensionMonths),"")</f>
        <v/>
      </c>
    </row>
    <row r="68">
      <c r="A68">
        <f>A67+1</f>
        <v/>
      </c>
      <c r="B68" s="5">
        <f>MAX(0,MIN(A68+1,SaleClose)-MAX(A68,BuildStart))</f>
        <v/>
      </c>
      <c r="C68" s="5">
        <f>MAX(0,MIN(A68+1,SaleClose)-MAX(A68,0))</f>
        <v/>
      </c>
      <c r="D68" s="5">
        <f>MAX(0,MIN(A68+1,Completion)-MAX(A68,BuildStart))</f>
        <v/>
      </c>
      <c r="E68" s="5">
        <f>MAX(0,MIN(A68+1,SaleClose)-MAX(A68,Completion))</f>
        <v/>
      </c>
      <c r="F68" s="5">
        <f>MAX(0,MIN(A68+1,Contract)-MAX(A68,ListMonth))</f>
        <v/>
      </c>
      <c r="G68" s="6">
        <f>IF(AND(A68&gt;=BuildStart,A68&lt;BuildStart+BuildMonths),SIN(PI()*(A68-BuildStart+0.5)/BuildMonths),0)</f>
        <v/>
      </c>
      <c r="H68" s="3">
        <f>IF(AND(A68&gt;=BuildStart,A68&lt;BuildStart+BuildMonths-1),ROUND(HardActual*(G68/DrawWeightSum),2),IF(A68=BuildStart+BuildMonths-1,HardActual-SUM(H$65:H67),0))</f>
        <v/>
      </c>
      <c r="I68" s="3">
        <f>IF(A68=0,SoftActual,0)+H68</f>
        <v/>
      </c>
      <c r="J68" s="3">
        <f>O67</f>
        <v/>
      </c>
      <c r="K68" s="3">
        <f>P67</f>
        <v/>
      </c>
      <c r="L68" s="3">
        <f>MIN(I68,MAX(0,EquityReq-J68))</f>
        <v/>
      </c>
      <c r="M68" s="3">
        <f>MIN(I68-L68,Commitment-K68)</f>
        <v/>
      </c>
      <c r="N68" s="3">
        <f>L68+(I68-L68-M68)</f>
        <v/>
      </c>
      <c r="O68" s="3">
        <f>J68+I68</f>
        <v/>
      </c>
      <c r="P68" s="3">
        <f>K68+M68</f>
        <v/>
      </c>
      <c r="Q68" s="3">
        <f>W67</f>
        <v/>
      </c>
      <c r="R68" s="3">
        <f>IF(AND(A68=BuildStart,Commitment&gt;0),ConstrPoints,0)</f>
        <v/>
      </c>
      <c r="S68" s="3">
        <f>IF(M68&gt;0,DrawFee,0)</f>
        <v/>
      </c>
      <c r="T68" s="3">
        <f>ROUND(Q68*LoanRate/12*B68,2)</f>
        <v/>
      </c>
      <c r="U68" s="3">
        <f>IF(CapFlag=1,0,T68)</f>
        <v/>
      </c>
      <c r="V68" s="3">
        <f>IF(CapFlag=1,T68,0)</f>
        <v/>
      </c>
      <c r="W68" s="3">
        <f>Q68+M68+V68</f>
        <v/>
      </c>
      <c r="X68" s="3">
        <f>ROUND(LandLoan*LandRate/12*C68,2)</f>
        <v/>
      </c>
      <c r="Y68" s="3">
        <f>COUNTIF(colExtPeriod,A68)*ExtFee</f>
        <v/>
      </c>
      <c r="Z68" s="3">
        <f>ROUND(TaxRate/12*(LandPrice+O68)*C68,2)</f>
        <v/>
      </c>
      <c r="AA68" s="3">
        <f>ROUND(InsuranceRate/12*EstimateTotal*B68,2)</f>
        <v/>
      </c>
      <c r="AB68" s="3">
        <f>ROUND(UtilBuild*D68+UtilAfter*E68,2)</f>
        <v/>
      </c>
      <c r="AC68" s="3">
        <f>ROUND(StagingMonthly*F68,2)</f>
        <v/>
      </c>
      <c r="AD68" s="3">
        <f>ROUND(UpkeepMonthly*E68,2)</f>
        <v/>
      </c>
      <c r="AE68" s="3">
        <f>ROUND(HoaMonthly*C68,2)</f>
        <v/>
      </c>
      <c r="AF68" s="3">
        <f>IF(A68=0,LandPrice-LandLoan+LandClosing+LandPoints,0)</f>
        <v/>
      </c>
      <c r="AG68" s="3">
        <f>AF68+N68+R68+S68+U68+X68+Y68+Z68+AA68+AB68+AC68+AD68+AE68</f>
        <v/>
      </c>
      <c r="AH68" s="3">
        <f>AH67+AG68</f>
        <v/>
      </c>
      <c r="AJ68">
        <f>A68</f>
        <v/>
      </c>
      <c r="AK68">
        <f>IF(AJ68&lt;ExtCount,INT(Maturity+AJ68*ExtensionMonths),"")</f>
        <v/>
      </c>
    </row>
    <row r="69">
      <c r="A69">
        <f>A68+1</f>
        <v/>
      </c>
      <c r="B69" s="5">
        <f>MAX(0,MIN(A69+1,SaleClose)-MAX(A69,BuildStart))</f>
        <v/>
      </c>
      <c r="C69" s="5">
        <f>MAX(0,MIN(A69+1,SaleClose)-MAX(A69,0))</f>
        <v/>
      </c>
      <c r="D69" s="5">
        <f>MAX(0,MIN(A69+1,Completion)-MAX(A69,BuildStart))</f>
        <v/>
      </c>
      <c r="E69" s="5">
        <f>MAX(0,MIN(A69+1,SaleClose)-MAX(A69,Completion))</f>
        <v/>
      </c>
      <c r="F69" s="5">
        <f>MAX(0,MIN(A69+1,Contract)-MAX(A69,ListMonth))</f>
        <v/>
      </c>
      <c r="G69" s="6">
        <f>IF(AND(A69&gt;=BuildStart,A69&lt;BuildStart+BuildMonths),SIN(PI()*(A69-BuildStart+0.5)/BuildMonths),0)</f>
        <v/>
      </c>
      <c r="H69" s="3">
        <f>IF(AND(A69&gt;=BuildStart,A69&lt;BuildStart+BuildMonths-1),ROUND(HardActual*(G69/DrawWeightSum),2),IF(A69=BuildStart+BuildMonths-1,HardActual-SUM(H$65:H68),0))</f>
        <v/>
      </c>
      <c r="I69" s="3">
        <f>IF(A69=0,SoftActual,0)+H69</f>
        <v/>
      </c>
      <c r="J69" s="3">
        <f>O68</f>
        <v/>
      </c>
      <c r="K69" s="3">
        <f>P68</f>
        <v/>
      </c>
      <c r="L69" s="3">
        <f>MIN(I69,MAX(0,EquityReq-J69))</f>
        <v/>
      </c>
      <c r="M69" s="3">
        <f>MIN(I69-L69,Commitment-K69)</f>
        <v/>
      </c>
      <c r="N69" s="3">
        <f>L69+(I69-L69-M69)</f>
        <v/>
      </c>
      <c r="O69" s="3">
        <f>J69+I69</f>
        <v/>
      </c>
      <c r="P69" s="3">
        <f>K69+M69</f>
        <v/>
      </c>
      <c r="Q69" s="3">
        <f>W68</f>
        <v/>
      </c>
      <c r="R69" s="3">
        <f>IF(AND(A69=BuildStart,Commitment&gt;0),ConstrPoints,0)</f>
        <v/>
      </c>
      <c r="S69" s="3">
        <f>IF(M69&gt;0,DrawFee,0)</f>
        <v/>
      </c>
      <c r="T69" s="3">
        <f>ROUND(Q69*LoanRate/12*B69,2)</f>
        <v/>
      </c>
      <c r="U69" s="3">
        <f>IF(CapFlag=1,0,T69)</f>
        <v/>
      </c>
      <c r="V69" s="3">
        <f>IF(CapFlag=1,T69,0)</f>
        <v/>
      </c>
      <c r="W69" s="3">
        <f>Q69+M69+V69</f>
        <v/>
      </c>
      <c r="X69" s="3">
        <f>ROUND(LandLoan*LandRate/12*C69,2)</f>
        <v/>
      </c>
      <c r="Y69" s="3">
        <f>COUNTIF(colExtPeriod,A69)*ExtFee</f>
        <v/>
      </c>
      <c r="Z69" s="3">
        <f>ROUND(TaxRate/12*(LandPrice+O69)*C69,2)</f>
        <v/>
      </c>
      <c r="AA69" s="3">
        <f>ROUND(InsuranceRate/12*EstimateTotal*B69,2)</f>
        <v/>
      </c>
      <c r="AB69" s="3">
        <f>ROUND(UtilBuild*D69+UtilAfter*E69,2)</f>
        <v/>
      </c>
      <c r="AC69" s="3">
        <f>ROUND(StagingMonthly*F69,2)</f>
        <v/>
      </c>
      <c r="AD69" s="3">
        <f>ROUND(UpkeepMonthly*E69,2)</f>
        <v/>
      </c>
      <c r="AE69" s="3">
        <f>ROUND(HoaMonthly*C69,2)</f>
        <v/>
      </c>
      <c r="AF69" s="3">
        <f>IF(A69=0,LandPrice-LandLoan+LandClosing+LandPoints,0)</f>
        <v/>
      </c>
      <c r="AG69" s="3">
        <f>AF69+N69+R69+S69+U69+X69+Y69+Z69+AA69+AB69+AC69+AD69+AE69</f>
        <v/>
      </c>
      <c r="AH69" s="3">
        <f>AH68+AG69</f>
        <v/>
      </c>
      <c r="AJ69">
        <f>A69</f>
        <v/>
      </c>
      <c r="AK69">
        <f>IF(AJ69&lt;ExtCount,INT(Maturity+AJ69*ExtensionMonths),"")</f>
        <v/>
      </c>
    </row>
    <row r="70">
      <c r="A70">
        <f>A69+1</f>
        <v/>
      </c>
      <c r="B70" s="5">
        <f>MAX(0,MIN(A70+1,SaleClose)-MAX(A70,BuildStart))</f>
        <v/>
      </c>
      <c r="C70" s="5">
        <f>MAX(0,MIN(A70+1,SaleClose)-MAX(A70,0))</f>
        <v/>
      </c>
      <c r="D70" s="5">
        <f>MAX(0,MIN(A70+1,Completion)-MAX(A70,BuildStart))</f>
        <v/>
      </c>
      <c r="E70" s="5">
        <f>MAX(0,MIN(A70+1,SaleClose)-MAX(A70,Completion))</f>
        <v/>
      </c>
      <c r="F70" s="5">
        <f>MAX(0,MIN(A70+1,Contract)-MAX(A70,ListMonth))</f>
        <v/>
      </c>
      <c r="G70" s="6">
        <f>IF(AND(A70&gt;=BuildStart,A70&lt;BuildStart+BuildMonths),SIN(PI()*(A70-BuildStart+0.5)/BuildMonths),0)</f>
        <v/>
      </c>
      <c r="H70" s="3">
        <f>IF(AND(A70&gt;=BuildStart,A70&lt;BuildStart+BuildMonths-1),ROUND(HardActual*(G70/DrawWeightSum),2),IF(A70=BuildStart+BuildMonths-1,HardActual-SUM(H$65:H69),0))</f>
        <v/>
      </c>
      <c r="I70" s="3">
        <f>IF(A70=0,SoftActual,0)+H70</f>
        <v/>
      </c>
      <c r="J70" s="3">
        <f>O69</f>
        <v/>
      </c>
      <c r="K70" s="3">
        <f>P69</f>
        <v/>
      </c>
      <c r="L70" s="3">
        <f>MIN(I70,MAX(0,EquityReq-J70))</f>
        <v/>
      </c>
      <c r="M70" s="3">
        <f>MIN(I70-L70,Commitment-K70)</f>
        <v/>
      </c>
      <c r="N70" s="3">
        <f>L70+(I70-L70-M70)</f>
        <v/>
      </c>
      <c r="O70" s="3">
        <f>J70+I70</f>
        <v/>
      </c>
      <c r="P70" s="3">
        <f>K70+M70</f>
        <v/>
      </c>
      <c r="Q70" s="3">
        <f>W69</f>
        <v/>
      </c>
      <c r="R70" s="3">
        <f>IF(AND(A70=BuildStart,Commitment&gt;0),ConstrPoints,0)</f>
        <v/>
      </c>
      <c r="S70" s="3">
        <f>IF(M70&gt;0,DrawFee,0)</f>
        <v/>
      </c>
      <c r="T70" s="3">
        <f>ROUND(Q70*LoanRate/12*B70,2)</f>
        <v/>
      </c>
      <c r="U70" s="3">
        <f>IF(CapFlag=1,0,T70)</f>
        <v/>
      </c>
      <c r="V70" s="3">
        <f>IF(CapFlag=1,T70,0)</f>
        <v/>
      </c>
      <c r="W70" s="3">
        <f>Q70+M70+V70</f>
        <v/>
      </c>
      <c r="X70" s="3">
        <f>ROUND(LandLoan*LandRate/12*C70,2)</f>
        <v/>
      </c>
      <c r="Y70" s="3">
        <f>COUNTIF(colExtPeriod,A70)*ExtFee</f>
        <v/>
      </c>
      <c r="Z70" s="3">
        <f>ROUND(TaxRate/12*(LandPrice+O70)*C70,2)</f>
        <v/>
      </c>
      <c r="AA70" s="3">
        <f>ROUND(InsuranceRate/12*EstimateTotal*B70,2)</f>
        <v/>
      </c>
      <c r="AB70" s="3">
        <f>ROUND(UtilBuild*D70+UtilAfter*E70,2)</f>
        <v/>
      </c>
      <c r="AC70" s="3">
        <f>ROUND(StagingMonthly*F70,2)</f>
        <v/>
      </c>
      <c r="AD70" s="3">
        <f>ROUND(UpkeepMonthly*E70,2)</f>
        <v/>
      </c>
      <c r="AE70" s="3">
        <f>ROUND(HoaMonthly*C70,2)</f>
        <v/>
      </c>
      <c r="AF70" s="3">
        <f>IF(A70=0,LandPrice-LandLoan+LandClosing+LandPoints,0)</f>
        <v/>
      </c>
      <c r="AG70" s="3">
        <f>AF70+N70+R70+S70+U70+X70+Y70+Z70+AA70+AB70+AC70+AD70+AE70</f>
        <v/>
      </c>
      <c r="AH70" s="3">
        <f>AH69+AG70</f>
        <v/>
      </c>
      <c r="AJ70">
        <f>A70</f>
        <v/>
      </c>
      <c r="AK70">
        <f>IF(AJ70&lt;ExtCount,INT(Maturity+AJ70*ExtensionMonths),"")</f>
        <v/>
      </c>
    </row>
    <row r="71">
      <c r="A71">
        <f>A70+1</f>
        <v/>
      </c>
      <c r="B71" s="5">
        <f>MAX(0,MIN(A71+1,SaleClose)-MAX(A71,BuildStart))</f>
        <v/>
      </c>
      <c r="C71" s="5">
        <f>MAX(0,MIN(A71+1,SaleClose)-MAX(A71,0))</f>
        <v/>
      </c>
      <c r="D71" s="5">
        <f>MAX(0,MIN(A71+1,Completion)-MAX(A71,BuildStart))</f>
        <v/>
      </c>
      <c r="E71" s="5">
        <f>MAX(0,MIN(A71+1,SaleClose)-MAX(A71,Completion))</f>
        <v/>
      </c>
      <c r="F71" s="5">
        <f>MAX(0,MIN(A71+1,Contract)-MAX(A71,ListMonth))</f>
        <v/>
      </c>
      <c r="G71" s="6">
        <f>IF(AND(A71&gt;=BuildStart,A71&lt;BuildStart+BuildMonths),SIN(PI()*(A71-BuildStart+0.5)/BuildMonths),0)</f>
        <v/>
      </c>
      <c r="H71" s="3">
        <f>IF(AND(A71&gt;=BuildStart,A71&lt;BuildStart+BuildMonths-1),ROUND(HardActual*(G71/DrawWeightSum),2),IF(A71=BuildStart+BuildMonths-1,HardActual-SUM(H$65:H70),0))</f>
        <v/>
      </c>
      <c r="I71" s="3">
        <f>IF(A71=0,SoftActual,0)+H71</f>
        <v/>
      </c>
      <c r="J71" s="3">
        <f>O70</f>
        <v/>
      </c>
      <c r="K71" s="3">
        <f>P70</f>
        <v/>
      </c>
      <c r="L71" s="3">
        <f>MIN(I71,MAX(0,EquityReq-J71))</f>
        <v/>
      </c>
      <c r="M71" s="3">
        <f>MIN(I71-L71,Commitment-K71)</f>
        <v/>
      </c>
      <c r="N71" s="3">
        <f>L71+(I71-L71-M71)</f>
        <v/>
      </c>
      <c r="O71" s="3">
        <f>J71+I71</f>
        <v/>
      </c>
      <c r="P71" s="3">
        <f>K71+M71</f>
        <v/>
      </c>
      <c r="Q71" s="3">
        <f>W70</f>
        <v/>
      </c>
      <c r="R71" s="3">
        <f>IF(AND(A71=BuildStart,Commitment&gt;0),ConstrPoints,0)</f>
        <v/>
      </c>
      <c r="S71" s="3">
        <f>IF(M71&gt;0,DrawFee,0)</f>
        <v/>
      </c>
      <c r="T71" s="3">
        <f>ROUND(Q71*LoanRate/12*B71,2)</f>
        <v/>
      </c>
      <c r="U71" s="3">
        <f>IF(CapFlag=1,0,T71)</f>
        <v/>
      </c>
      <c r="V71" s="3">
        <f>IF(CapFlag=1,T71,0)</f>
        <v/>
      </c>
      <c r="W71" s="3">
        <f>Q71+M71+V71</f>
        <v/>
      </c>
      <c r="X71" s="3">
        <f>ROUND(LandLoan*LandRate/12*C71,2)</f>
        <v/>
      </c>
      <c r="Y71" s="3">
        <f>COUNTIF(colExtPeriod,A71)*ExtFee</f>
        <v/>
      </c>
      <c r="Z71" s="3">
        <f>ROUND(TaxRate/12*(LandPrice+O71)*C71,2)</f>
        <v/>
      </c>
      <c r="AA71" s="3">
        <f>ROUND(InsuranceRate/12*EstimateTotal*B71,2)</f>
        <v/>
      </c>
      <c r="AB71" s="3">
        <f>ROUND(UtilBuild*D71+UtilAfter*E71,2)</f>
        <v/>
      </c>
      <c r="AC71" s="3">
        <f>ROUND(StagingMonthly*F71,2)</f>
        <v/>
      </c>
      <c r="AD71" s="3">
        <f>ROUND(UpkeepMonthly*E71,2)</f>
        <v/>
      </c>
      <c r="AE71" s="3">
        <f>ROUND(HoaMonthly*C71,2)</f>
        <v/>
      </c>
      <c r="AF71" s="3">
        <f>IF(A71=0,LandPrice-LandLoan+LandClosing+LandPoints,0)</f>
        <v/>
      </c>
      <c r="AG71" s="3">
        <f>AF71+N71+R71+S71+U71+X71+Y71+Z71+AA71+AB71+AC71+AD71+AE71</f>
        <v/>
      </c>
      <c r="AH71" s="3">
        <f>AH70+AG71</f>
        <v/>
      </c>
      <c r="AJ71">
        <f>A71</f>
        <v/>
      </c>
      <c r="AK71">
        <f>IF(AJ71&lt;ExtCount,INT(Maturity+AJ71*ExtensionMonths),"")</f>
        <v/>
      </c>
    </row>
    <row r="72">
      <c r="A72">
        <f>A71+1</f>
        <v/>
      </c>
      <c r="B72" s="5">
        <f>MAX(0,MIN(A72+1,SaleClose)-MAX(A72,BuildStart))</f>
        <v/>
      </c>
      <c r="C72" s="5">
        <f>MAX(0,MIN(A72+1,SaleClose)-MAX(A72,0))</f>
        <v/>
      </c>
      <c r="D72" s="5">
        <f>MAX(0,MIN(A72+1,Completion)-MAX(A72,BuildStart))</f>
        <v/>
      </c>
      <c r="E72" s="5">
        <f>MAX(0,MIN(A72+1,SaleClose)-MAX(A72,Completion))</f>
        <v/>
      </c>
      <c r="F72" s="5">
        <f>MAX(0,MIN(A72+1,Contract)-MAX(A72,ListMonth))</f>
        <v/>
      </c>
      <c r="G72" s="6">
        <f>IF(AND(A72&gt;=BuildStart,A72&lt;BuildStart+BuildMonths),SIN(PI()*(A72-BuildStart+0.5)/BuildMonths),0)</f>
        <v/>
      </c>
      <c r="H72" s="3">
        <f>IF(AND(A72&gt;=BuildStart,A72&lt;BuildStart+BuildMonths-1),ROUND(HardActual*(G72/DrawWeightSum),2),IF(A72=BuildStart+BuildMonths-1,HardActual-SUM(H$65:H71),0))</f>
        <v/>
      </c>
      <c r="I72" s="3">
        <f>IF(A72=0,SoftActual,0)+H72</f>
        <v/>
      </c>
      <c r="J72" s="3">
        <f>O71</f>
        <v/>
      </c>
      <c r="K72" s="3">
        <f>P71</f>
        <v/>
      </c>
      <c r="L72" s="3">
        <f>MIN(I72,MAX(0,EquityReq-J72))</f>
        <v/>
      </c>
      <c r="M72" s="3">
        <f>MIN(I72-L72,Commitment-K72)</f>
        <v/>
      </c>
      <c r="N72" s="3">
        <f>L72+(I72-L72-M72)</f>
        <v/>
      </c>
      <c r="O72" s="3">
        <f>J72+I72</f>
        <v/>
      </c>
      <c r="P72" s="3">
        <f>K72+M72</f>
        <v/>
      </c>
      <c r="Q72" s="3">
        <f>W71</f>
        <v/>
      </c>
      <c r="R72" s="3">
        <f>IF(AND(A72=BuildStart,Commitment&gt;0),ConstrPoints,0)</f>
        <v/>
      </c>
      <c r="S72" s="3">
        <f>IF(M72&gt;0,DrawFee,0)</f>
        <v/>
      </c>
      <c r="T72" s="3">
        <f>ROUND(Q72*LoanRate/12*B72,2)</f>
        <v/>
      </c>
      <c r="U72" s="3">
        <f>IF(CapFlag=1,0,T72)</f>
        <v/>
      </c>
      <c r="V72" s="3">
        <f>IF(CapFlag=1,T72,0)</f>
        <v/>
      </c>
      <c r="W72" s="3">
        <f>Q72+M72+V72</f>
        <v/>
      </c>
      <c r="X72" s="3">
        <f>ROUND(LandLoan*LandRate/12*C72,2)</f>
        <v/>
      </c>
      <c r="Y72" s="3">
        <f>COUNTIF(colExtPeriod,A72)*ExtFee</f>
        <v/>
      </c>
      <c r="Z72" s="3">
        <f>ROUND(TaxRate/12*(LandPrice+O72)*C72,2)</f>
        <v/>
      </c>
      <c r="AA72" s="3">
        <f>ROUND(InsuranceRate/12*EstimateTotal*B72,2)</f>
        <v/>
      </c>
      <c r="AB72" s="3">
        <f>ROUND(UtilBuild*D72+UtilAfter*E72,2)</f>
        <v/>
      </c>
      <c r="AC72" s="3">
        <f>ROUND(StagingMonthly*F72,2)</f>
        <v/>
      </c>
      <c r="AD72" s="3">
        <f>ROUND(UpkeepMonthly*E72,2)</f>
        <v/>
      </c>
      <c r="AE72" s="3">
        <f>ROUND(HoaMonthly*C72,2)</f>
        <v/>
      </c>
      <c r="AF72" s="3">
        <f>IF(A72=0,LandPrice-LandLoan+LandClosing+LandPoints,0)</f>
        <v/>
      </c>
      <c r="AG72" s="3">
        <f>AF72+N72+R72+S72+U72+X72+Y72+Z72+AA72+AB72+AC72+AD72+AE72</f>
        <v/>
      </c>
      <c r="AH72" s="3">
        <f>AH71+AG72</f>
        <v/>
      </c>
      <c r="AJ72">
        <f>A72</f>
        <v/>
      </c>
      <c r="AK72">
        <f>IF(AJ72&lt;ExtCount,INT(Maturity+AJ72*ExtensionMonths),"")</f>
        <v/>
      </c>
    </row>
    <row r="73">
      <c r="A73">
        <f>A72+1</f>
        <v/>
      </c>
      <c r="B73" s="5">
        <f>MAX(0,MIN(A73+1,SaleClose)-MAX(A73,BuildStart))</f>
        <v/>
      </c>
      <c r="C73" s="5">
        <f>MAX(0,MIN(A73+1,SaleClose)-MAX(A73,0))</f>
        <v/>
      </c>
      <c r="D73" s="5">
        <f>MAX(0,MIN(A73+1,Completion)-MAX(A73,BuildStart))</f>
        <v/>
      </c>
      <c r="E73" s="5">
        <f>MAX(0,MIN(A73+1,SaleClose)-MAX(A73,Completion))</f>
        <v/>
      </c>
      <c r="F73" s="5">
        <f>MAX(0,MIN(A73+1,Contract)-MAX(A73,ListMonth))</f>
        <v/>
      </c>
      <c r="G73" s="6">
        <f>IF(AND(A73&gt;=BuildStart,A73&lt;BuildStart+BuildMonths),SIN(PI()*(A73-BuildStart+0.5)/BuildMonths),0)</f>
        <v/>
      </c>
      <c r="H73" s="3">
        <f>IF(AND(A73&gt;=BuildStart,A73&lt;BuildStart+BuildMonths-1),ROUND(HardActual*(G73/DrawWeightSum),2),IF(A73=BuildStart+BuildMonths-1,HardActual-SUM(H$65:H72),0))</f>
        <v/>
      </c>
      <c r="I73" s="3">
        <f>IF(A73=0,SoftActual,0)+H73</f>
        <v/>
      </c>
      <c r="J73" s="3">
        <f>O72</f>
        <v/>
      </c>
      <c r="K73" s="3">
        <f>P72</f>
        <v/>
      </c>
      <c r="L73" s="3">
        <f>MIN(I73,MAX(0,EquityReq-J73))</f>
        <v/>
      </c>
      <c r="M73" s="3">
        <f>MIN(I73-L73,Commitment-K73)</f>
        <v/>
      </c>
      <c r="N73" s="3">
        <f>L73+(I73-L73-M73)</f>
        <v/>
      </c>
      <c r="O73" s="3">
        <f>J73+I73</f>
        <v/>
      </c>
      <c r="P73" s="3">
        <f>K73+M73</f>
        <v/>
      </c>
      <c r="Q73" s="3">
        <f>W72</f>
        <v/>
      </c>
      <c r="R73" s="3">
        <f>IF(AND(A73=BuildStart,Commitment&gt;0),ConstrPoints,0)</f>
        <v/>
      </c>
      <c r="S73" s="3">
        <f>IF(M73&gt;0,DrawFee,0)</f>
        <v/>
      </c>
      <c r="T73" s="3">
        <f>ROUND(Q73*LoanRate/12*B73,2)</f>
        <v/>
      </c>
      <c r="U73" s="3">
        <f>IF(CapFlag=1,0,T73)</f>
        <v/>
      </c>
      <c r="V73" s="3">
        <f>IF(CapFlag=1,T73,0)</f>
        <v/>
      </c>
      <c r="W73" s="3">
        <f>Q73+M73+V73</f>
        <v/>
      </c>
      <c r="X73" s="3">
        <f>ROUND(LandLoan*LandRate/12*C73,2)</f>
        <v/>
      </c>
      <c r="Y73" s="3">
        <f>COUNTIF(colExtPeriod,A73)*ExtFee</f>
        <v/>
      </c>
      <c r="Z73" s="3">
        <f>ROUND(TaxRate/12*(LandPrice+O73)*C73,2)</f>
        <v/>
      </c>
      <c r="AA73" s="3">
        <f>ROUND(InsuranceRate/12*EstimateTotal*B73,2)</f>
        <v/>
      </c>
      <c r="AB73" s="3">
        <f>ROUND(UtilBuild*D73+UtilAfter*E73,2)</f>
        <v/>
      </c>
      <c r="AC73" s="3">
        <f>ROUND(StagingMonthly*F73,2)</f>
        <v/>
      </c>
      <c r="AD73" s="3">
        <f>ROUND(UpkeepMonthly*E73,2)</f>
        <v/>
      </c>
      <c r="AE73" s="3">
        <f>ROUND(HoaMonthly*C73,2)</f>
        <v/>
      </c>
      <c r="AF73" s="3">
        <f>IF(A73=0,LandPrice-LandLoan+LandClosing+LandPoints,0)</f>
        <v/>
      </c>
      <c r="AG73" s="3">
        <f>AF73+N73+R73+S73+U73+X73+Y73+Z73+AA73+AB73+AC73+AD73+AE73</f>
        <v/>
      </c>
      <c r="AH73" s="3">
        <f>AH72+AG73</f>
        <v/>
      </c>
      <c r="AJ73">
        <f>A73</f>
        <v/>
      </c>
      <c r="AK73">
        <f>IF(AJ73&lt;ExtCount,INT(Maturity+AJ73*ExtensionMonths),"")</f>
        <v/>
      </c>
    </row>
    <row r="74">
      <c r="A74">
        <f>A73+1</f>
        <v/>
      </c>
      <c r="B74" s="5">
        <f>MAX(0,MIN(A74+1,SaleClose)-MAX(A74,BuildStart))</f>
        <v/>
      </c>
      <c r="C74" s="5">
        <f>MAX(0,MIN(A74+1,SaleClose)-MAX(A74,0))</f>
        <v/>
      </c>
      <c r="D74" s="5">
        <f>MAX(0,MIN(A74+1,Completion)-MAX(A74,BuildStart))</f>
        <v/>
      </c>
      <c r="E74" s="5">
        <f>MAX(0,MIN(A74+1,SaleClose)-MAX(A74,Completion))</f>
        <v/>
      </c>
      <c r="F74" s="5">
        <f>MAX(0,MIN(A74+1,Contract)-MAX(A74,ListMonth))</f>
        <v/>
      </c>
      <c r="G74" s="6">
        <f>IF(AND(A74&gt;=BuildStart,A74&lt;BuildStart+BuildMonths),SIN(PI()*(A74-BuildStart+0.5)/BuildMonths),0)</f>
        <v/>
      </c>
      <c r="H74" s="3">
        <f>IF(AND(A74&gt;=BuildStart,A74&lt;BuildStart+BuildMonths-1),ROUND(HardActual*(G74/DrawWeightSum),2),IF(A74=BuildStart+BuildMonths-1,HardActual-SUM(H$65:H73),0))</f>
        <v/>
      </c>
      <c r="I74" s="3">
        <f>IF(A74=0,SoftActual,0)+H74</f>
        <v/>
      </c>
      <c r="J74" s="3">
        <f>O73</f>
        <v/>
      </c>
      <c r="K74" s="3">
        <f>P73</f>
        <v/>
      </c>
      <c r="L74" s="3">
        <f>MIN(I74,MAX(0,EquityReq-J74))</f>
        <v/>
      </c>
      <c r="M74" s="3">
        <f>MIN(I74-L74,Commitment-K74)</f>
        <v/>
      </c>
      <c r="N74" s="3">
        <f>L74+(I74-L74-M74)</f>
        <v/>
      </c>
      <c r="O74" s="3">
        <f>J74+I74</f>
        <v/>
      </c>
      <c r="P74" s="3">
        <f>K74+M74</f>
        <v/>
      </c>
      <c r="Q74" s="3">
        <f>W73</f>
        <v/>
      </c>
      <c r="R74" s="3">
        <f>IF(AND(A74=BuildStart,Commitment&gt;0),ConstrPoints,0)</f>
        <v/>
      </c>
      <c r="S74" s="3">
        <f>IF(M74&gt;0,DrawFee,0)</f>
        <v/>
      </c>
      <c r="T74" s="3">
        <f>ROUND(Q74*LoanRate/12*B74,2)</f>
        <v/>
      </c>
      <c r="U74" s="3">
        <f>IF(CapFlag=1,0,T74)</f>
        <v/>
      </c>
      <c r="V74" s="3">
        <f>IF(CapFlag=1,T74,0)</f>
        <v/>
      </c>
      <c r="W74" s="3">
        <f>Q74+M74+V74</f>
        <v/>
      </c>
      <c r="X74" s="3">
        <f>ROUND(LandLoan*LandRate/12*C74,2)</f>
        <v/>
      </c>
      <c r="Y74" s="3">
        <f>COUNTIF(colExtPeriod,A74)*ExtFee</f>
        <v/>
      </c>
      <c r="Z74" s="3">
        <f>ROUND(TaxRate/12*(LandPrice+O74)*C74,2)</f>
        <v/>
      </c>
      <c r="AA74" s="3">
        <f>ROUND(InsuranceRate/12*EstimateTotal*B74,2)</f>
        <v/>
      </c>
      <c r="AB74" s="3">
        <f>ROUND(UtilBuild*D74+UtilAfter*E74,2)</f>
        <v/>
      </c>
      <c r="AC74" s="3">
        <f>ROUND(StagingMonthly*F74,2)</f>
        <v/>
      </c>
      <c r="AD74" s="3">
        <f>ROUND(UpkeepMonthly*E74,2)</f>
        <v/>
      </c>
      <c r="AE74" s="3">
        <f>ROUND(HoaMonthly*C74,2)</f>
        <v/>
      </c>
      <c r="AF74" s="3">
        <f>IF(A74=0,LandPrice-LandLoan+LandClosing+LandPoints,0)</f>
        <v/>
      </c>
      <c r="AG74" s="3">
        <f>AF74+N74+R74+S74+U74+X74+Y74+Z74+AA74+AB74+AC74+AD74+AE74</f>
        <v/>
      </c>
      <c r="AH74" s="3">
        <f>AH73+AG74</f>
        <v/>
      </c>
      <c r="AJ74">
        <f>A74</f>
        <v/>
      </c>
      <c r="AK74">
        <f>IF(AJ74&lt;ExtCount,INT(Maturity+AJ74*ExtensionMonths),"")</f>
        <v/>
      </c>
    </row>
    <row r="75">
      <c r="A75">
        <f>A74+1</f>
        <v/>
      </c>
      <c r="B75" s="5">
        <f>MAX(0,MIN(A75+1,SaleClose)-MAX(A75,BuildStart))</f>
        <v/>
      </c>
      <c r="C75" s="5">
        <f>MAX(0,MIN(A75+1,SaleClose)-MAX(A75,0))</f>
        <v/>
      </c>
      <c r="D75" s="5">
        <f>MAX(0,MIN(A75+1,Completion)-MAX(A75,BuildStart))</f>
        <v/>
      </c>
      <c r="E75" s="5">
        <f>MAX(0,MIN(A75+1,SaleClose)-MAX(A75,Completion))</f>
        <v/>
      </c>
      <c r="F75" s="5">
        <f>MAX(0,MIN(A75+1,Contract)-MAX(A75,ListMonth))</f>
        <v/>
      </c>
      <c r="G75" s="6">
        <f>IF(AND(A75&gt;=BuildStart,A75&lt;BuildStart+BuildMonths),SIN(PI()*(A75-BuildStart+0.5)/BuildMonths),0)</f>
        <v/>
      </c>
      <c r="H75" s="3">
        <f>IF(AND(A75&gt;=BuildStart,A75&lt;BuildStart+BuildMonths-1),ROUND(HardActual*(G75/DrawWeightSum),2),IF(A75=BuildStart+BuildMonths-1,HardActual-SUM(H$65:H74),0))</f>
        <v/>
      </c>
      <c r="I75" s="3">
        <f>IF(A75=0,SoftActual,0)+H75</f>
        <v/>
      </c>
      <c r="J75" s="3">
        <f>O74</f>
        <v/>
      </c>
      <c r="K75" s="3">
        <f>P74</f>
        <v/>
      </c>
      <c r="L75" s="3">
        <f>MIN(I75,MAX(0,EquityReq-J75))</f>
        <v/>
      </c>
      <c r="M75" s="3">
        <f>MIN(I75-L75,Commitment-K75)</f>
        <v/>
      </c>
      <c r="N75" s="3">
        <f>L75+(I75-L75-M75)</f>
        <v/>
      </c>
      <c r="O75" s="3">
        <f>J75+I75</f>
        <v/>
      </c>
      <c r="P75" s="3">
        <f>K75+M75</f>
        <v/>
      </c>
      <c r="Q75" s="3">
        <f>W74</f>
        <v/>
      </c>
      <c r="R75" s="3">
        <f>IF(AND(A75=BuildStart,Commitment&gt;0),ConstrPoints,0)</f>
        <v/>
      </c>
      <c r="S75" s="3">
        <f>IF(M75&gt;0,DrawFee,0)</f>
        <v/>
      </c>
      <c r="T75" s="3">
        <f>ROUND(Q75*LoanRate/12*B75,2)</f>
        <v/>
      </c>
      <c r="U75" s="3">
        <f>IF(CapFlag=1,0,T75)</f>
        <v/>
      </c>
      <c r="V75" s="3">
        <f>IF(CapFlag=1,T75,0)</f>
        <v/>
      </c>
      <c r="W75" s="3">
        <f>Q75+M75+V75</f>
        <v/>
      </c>
      <c r="X75" s="3">
        <f>ROUND(LandLoan*LandRate/12*C75,2)</f>
        <v/>
      </c>
      <c r="Y75" s="3">
        <f>COUNTIF(colExtPeriod,A75)*ExtFee</f>
        <v/>
      </c>
      <c r="Z75" s="3">
        <f>ROUND(TaxRate/12*(LandPrice+O75)*C75,2)</f>
        <v/>
      </c>
      <c r="AA75" s="3">
        <f>ROUND(InsuranceRate/12*EstimateTotal*B75,2)</f>
        <v/>
      </c>
      <c r="AB75" s="3">
        <f>ROUND(UtilBuild*D75+UtilAfter*E75,2)</f>
        <v/>
      </c>
      <c r="AC75" s="3">
        <f>ROUND(StagingMonthly*F75,2)</f>
        <v/>
      </c>
      <c r="AD75" s="3">
        <f>ROUND(UpkeepMonthly*E75,2)</f>
        <v/>
      </c>
      <c r="AE75" s="3">
        <f>ROUND(HoaMonthly*C75,2)</f>
        <v/>
      </c>
      <c r="AF75" s="3">
        <f>IF(A75=0,LandPrice-LandLoan+LandClosing+LandPoints,0)</f>
        <v/>
      </c>
      <c r="AG75" s="3">
        <f>AF75+N75+R75+S75+U75+X75+Y75+Z75+AA75+AB75+AC75+AD75+AE75</f>
        <v/>
      </c>
      <c r="AH75" s="3">
        <f>AH74+AG75</f>
        <v/>
      </c>
      <c r="AJ75">
        <f>A75</f>
        <v/>
      </c>
      <c r="AK75">
        <f>IF(AJ75&lt;ExtCount,INT(Maturity+AJ75*ExtensionMonths),"")</f>
        <v/>
      </c>
    </row>
    <row r="76">
      <c r="A76">
        <f>A75+1</f>
        <v/>
      </c>
      <c r="B76" s="5">
        <f>MAX(0,MIN(A76+1,SaleClose)-MAX(A76,BuildStart))</f>
        <v/>
      </c>
      <c r="C76" s="5">
        <f>MAX(0,MIN(A76+1,SaleClose)-MAX(A76,0))</f>
        <v/>
      </c>
      <c r="D76" s="5">
        <f>MAX(0,MIN(A76+1,Completion)-MAX(A76,BuildStart))</f>
        <v/>
      </c>
      <c r="E76" s="5">
        <f>MAX(0,MIN(A76+1,SaleClose)-MAX(A76,Completion))</f>
        <v/>
      </c>
      <c r="F76" s="5">
        <f>MAX(0,MIN(A76+1,Contract)-MAX(A76,ListMonth))</f>
        <v/>
      </c>
      <c r="G76" s="6">
        <f>IF(AND(A76&gt;=BuildStart,A76&lt;BuildStart+BuildMonths),SIN(PI()*(A76-BuildStart+0.5)/BuildMonths),0)</f>
        <v/>
      </c>
      <c r="H76" s="3">
        <f>IF(AND(A76&gt;=BuildStart,A76&lt;BuildStart+BuildMonths-1),ROUND(HardActual*(G76/DrawWeightSum),2),IF(A76=BuildStart+BuildMonths-1,HardActual-SUM(H$65:H75),0))</f>
        <v/>
      </c>
      <c r="I76" s="3">
        <f>IF(A76=0,SoftActual,0)+H76</f>
        <v/>
      </c>
      <c r="J76" s="3">
        <f>O75</f>
        <v/>
      </c>
      <c r="K76" s="3">
        <f>P75</f>
        <v/>
      </c>
      <c r="L76" s="3">
        <f>MIN(I76,MAX(0,EquityReq-J76))</f>
        <v/>
      </c>
      <c r="M76" s="3">
        <f>MIN(I76-L76,Commitment-K76)</f>
        <v/>
      </c>
      <c r="N76" s="3">
        <f>L76+(I76-L76-M76)</f>
        <v/>
      </c>
      <c r="O76" s="3">
        <f>J76+I76</f>
        <v/>
      </c>
      <c r="P76" s="3">
        <f>K76+M76</f>
        <v/>
      </c>
      <c r="Q76" s="3">
        <f>W75</f>
        <v/>
      </c>
      <c r="R76" s="3">
        <f>IF(AND(A76=BuildStart,Commitment&gt;0),ConstrPoints,0)</f>
        <v/>
      </c>
      <c r="S76" s="3">
        <f>IF(M76&gt;0,DrawFee,0)</f>
        <v/>
      </c>
      <c r="T76" s="3">
        <f>ROUND(Q76*LoanRate/12*B76,2)</f>
        <v/>
      </c>
      <c r="U76" s="3">
        <f>IF(CapFlag=1,0,T76)</f>
        <v/>
      </c>
      <c r="V76" s="3">
        <f>IF(CapFlag=1,T76,0)</f>
        <v/>
      </c>
      <c r="W76" s="3">
        <f>Q76+M76+V76</f>
        <v/>
      </c>
      <c r="X76" s="3">
        <f>ROUND(LandLoan*LandRate/12*C76,2)</f>
        <v/>
      </c>
      <c r="Y76" s="3">
        <f>COUNTIF(colExtPeriod,A76)*ExtFee</f>
        <v/>
      </c>
      <c r="Z76" s="3">
        <f>ROUND(TaxRate/12*(LandPrice+O76)*C76,2)</f>
        <v/>
      </c>
      <c r="AA76" s="3">
        <f>ROUND(InsuranceRate/12*EstimateTotal*B76,2)</f>
        <v/>
      </c>
      <c r="AB76" s="3">
        <f>ROUND(UtilBuild*D76+UtilAfter*E76,2)</f>
        <v/>
      </c>
      <c r="AC76" s="3">
        <f>ROUND(StagingMonthly*F76,2)</f>
        <v/>
      </c>
      <c r="AD76" s="3">
        <f>ROUND(UpkeepMonthly*E76,2)</f>
        <v/>
      </c>
      <c r="AE76" s="3">
        <f>ROUND(HoaMonthly*C76,2)</f>
        <v/>
      </c>
      <c r="AF76" s="3">
        <f>IF(A76=0,LandPrice-LandLoan+LandClosing+LandPoints,0)</f>
        <v/>
      </c>
      <c r="AG76" s="3">
        <f>AF76+N76+R76+S76+U76+X76+Y76+Z76+AA76+AB76+AC76+AD76+AE76</f>
        <v/>
      </c>
      <c r="AH76" s="3">
        <f>AH75+AG76</f>
        <v/>
      </c>
      <c r="AJ76">
        <f>A76</f>
        <v/>
      </c>
      <c r="AK76">
        <f>IF(AJ76&lt;ExtCount,INT(Maturity+AJ76*ExtensionMonths),"")</f>
        <v/>
      </c>
    </row>
    <row r="77">
      <c r="A77">
        <f>A76+1</f>
        <v/>
      </c>
      <c r="B77" s="5">
        <f>MAX(0,MIN(A77+1,SaleClose)-MAX(A77,BuildStart))</f>
        <v/>
      </c>
      <c r="C77" s="5">
        <f>MAX(0,MIN(A77+1,SaleClose)-MAX(A77,0))</f>
        <v/>
      </c>
      <c r="D77" s="5">
        <f>MAX(0,MIN(A77+1,Completion)-MAX(A77,BuildStart))</f>
        <v/>
      </c>
      <c r="E77" s="5">
        <f>MAX(0,MIN(A77+1,SaleClose)-MAX(A77,Completion))</f>
        <v/>
      </c>
      <c r="F77" s="5">
        <f>MAX(0,MIN(A77+1,Contract)-MAX(A77,ListMonth))</f>
        <v/>
      </c>
      <c r="G77" s="6">
        <f>IF(AND(A77&gt;=BuildStart,A77&lt;BuildStart+BuildMonths),SIN(PI()*(A77-BuildStart+0.5)/BuildMonths),0)</f>
        <v/>
      </c>
      <c r="H77" s="3">
        <f>IF(AND(A77&gt;=BuildStart,A77&lt;BuildStart+BuildMonths-1),ROUND(HardActual*(G77/DrawWeightSum),2),IF(A77=BuildStart+BuildMonths-1,HardActual-SUM(H$65:H76),0))</f>
        <v/>
      </c>
      <c r="I77" s="3">
        <f>IF(A77=0,SoftActual,0)+H77</f>
        <v/>
      </c>
      <c r="J77" s="3">
        <f>O76</f>
        <v/>
      </c>
      <c r="K77" s="3">
        <f>P76</f>
        <v/>
      </c>
      <c r="L77" s="3">
        <f>MIN(I77,MAX(0,EquityReq-J77))</f>
        <v/>
      </c>
      <c r="M77" s="3">
        <f>MIN(I77-L77,Commitment-K77)</f>
        <v/>
      </c>
      <c r="N77" s="3">
        <f>L77+(I77-L77-M77)</f>
        <v/>
      </c>
      <c r="O77" s="3">
        <f>J77+I77</f>
        <v/>
      </c>
      <c r="P77" s="3">
        <f>K77+M77</f>
        <v/>
      </c>
      <c r="Q77" s="3">
        <f>W76</f>
        <v/>
      </c>
      <c r="R77" s="3">
        <f>IF(AND(A77=BuildStart,Commitment&gt;0),ConstrPoints,0)</f>
        <v/>
      </c>
      <c r="S77" s="3">
        <f>IF(M77&gt;0,DrawFee,0)</f>
        <v/>
      </c>
      <c r="T77" s="3">
        <f>ROUND(Q77*LoanRate/12*B77,2)</f>
        <v/>
      </c>
      <c r="U77" s="3">
        <f>IF(CapFlag=1,0,T77)</f>
        <v/>
      </c>
      <c r="V77" s="3">
        <f>IF(CapFlag=1,T77,0)</f>
        <v/>
      </c>
      <c r="W77" s="3">
        <f>Q77+M77+V77</f>
        <v/>
      </c>
      <c r="X77" s="3">
        <f>ROUND(LandLoan*LandRate/12*C77,2)</f>
        <v/>
      </c>
      <c r="Y77" s="3">
        <f>COUNTIF(colExtPeriod,A77)*ExtFee</f>
        <v/>
      </c>
      <c r="Z77" s="3">
        <f>ROUND(TaxRate/12*(LandPrice+O77)*C77,2)</f>
        <v/>
      </c>
      <c r="AA77" s="3">
        <f>ROUND(InsuranceRate/12*EstimateTotal*B77,2)</f>
        <v/>
      </c>
      <c r="AB77" s="3">
        <f>ROUND(UtilBuild*D77+UtilAfter*E77,2)</f>
        <v/>
      </c>
      <c r="AC77" s="3">
        <f>ROUND(StagingMonthly*F77,2)</f>
        <v/>
      </c>
      <c r="AD77" s="3">
        <f>ROUND(UpkeepMonthly*E77,2)</f>
        <v/>
      </c>
      <c r="AE77" s="3">
        <f>ROUND(HoaMonthly*C77,2)</f>
        <v/>
      </c>
      <c r="AF77" s="3">
        <f>IF(A77=0,LandPrice-LandLoan+LandClosing+LandPoints,0)</f>
        <v/>
      </c>
      <c r="AG77" s="3">
        <f>AF77+N77+R77+S77+U77+X77+Y77+Z77+AA77+AB77+AC77+AD77+AE77</f>
        <v/>
      </c>
      <c r="AH77" s="3">
        <f>AH76+AG77</f>
        <v/>
      </c>
      <c r="AJ77">
        <f>A77</f>
        <v/>
      </c>
      <c r="AK77">
        <f>IF(AJ77&lt;ExtCount,INT(Maturity+AJ77*ExtensionMonths),"")</f>
        <v/>
      </c>
    </row>
    <row r="78">
      <c r="A78">
        <f>A77+1</f>
        <v/>
      </c>
      <c r="B78" s="5">
        <f>MAX(0,MIN(A78+1,SaleClose)-MAX(A78,BuildStart))</f>
        <v/>
      </c>
      <c r="C78" s="5">
        <f>MAX(0,MIN(A78+1,SaleClose)-MAX(A78,0))</f>
        <v/>
      </c>
      <c r="D78" s="5">
        <f>MAX(0,MIN(A78+1,Completion)-MAX(A78,BuildStart))</f>
        <v/>
      </c>
      <c r="E78" s="5">
        <f>MAX(0,MIN(A78+1,SaleClose)-MAX(A78,Completion))</f>
        <v/>
      </c>
      <c r="F78" s="5">
        <f>MAX(0,MIN(A78+1,Contract)-MAX(A78,ListMonth))</f>
        <v/>
      </c>
      <c r="G78" s="6">
        <f>IF(AND(A78&gt;=BuildStart,A78&lt;BuildStart+BuildMonths),SIN(PI()*(A78-BuildStart+0.5)/BuildMonths),0)</f>
        <v/>
      </c>
      <c r="H78" s="3">
        <f>IF(AND(A78&gt;=BuildStart,A78&lt;BuildStart+BuildMonths-1),ROUND(HardActual*(G78/DrawWeightSum),2),IF(A78=BuildStart+BuildMonths-1,HardActual-SUM(H$65:H77),0))</f>
        <v/>
      </c>
      <c r="I78" s="3">
        <f>IF(A78=0,SoftActual,0)+H78</f>
        <v/>
      </c>
      <c r="J78" s="3">
        <f>O77</f>
        <v/>
      </c>
      <c r="K78" s="3">
        <f>P77</f>
        <v/>
      </c>
      <c r="L78" s="3">
        <f>MIN(I78,MAX(0,EquityReq-J78))</f>
        <v/>
      </c>
      <c r="M78" s="3">
        <f>MIN(I78-L78,Commitment-K78)</f>
        <v/>
      </c>
      <c r="N78" s="3">
        <f>L78+(I78-L78-M78)</f>
        <v/>
      </c>
      <c r="O78" s="3">
        <f>J78+I78</f>
        <v/>
      </c>
      <c r="P78" s="3">
        <f>K78+M78</f>
        <v/>
      </c>
      <c r="Q78" s="3">
        <f>W77</f>
        <v/>
      </c>
      <c r="R78" s="3">
        <f>IF(AND(A78=BuildStart,Commitment&gt;0),ConstrPoints,0)</f>
        <v/>
      </c>
      <c r="S78" s="3">
        <f>IF(M78&gt;0,DrawFee,0)</f>
        <v/>
      </c>
      <c r="T78" s="3">
        <f>ROUND(Q78*LoanRate/12*B78,2)</f>
        <v/>
      </c>
      <c r="U78" s="3">
        <f>IF(CapFlag=1,0,T78)</f>
        <v/>
      </c>
      <c r="V78" s="3">
        <f>IF(CapFlag=1,T78,0)</f>
        <v/>
      </c>
      <c r="W78" s="3">
        <f>Q78+M78+V78</f>
        <v/>
      </c>
      <c r="X78" s="3">
        <f>ROUND(LandLoan*LandRate/12*C78,2)</f>
        <v/>
      </c>
      <c r="Y78" s="3">
        <f>COUNTIF(colExtPeriod,A78)*ExtFee</f>
        <v/>
      </c>
      <c r="Z78" s="3">
        <f>ROUND(TaxRate/12*(LandPrice+O78)*C78,2)</f>
        <v/>
      </c>
      <c r="AA78" s="3">
        <f>ROUND(InsuranceRate/12*EstimateTotal*B78,2)</f>
        <v/>
      </c>
      <c r="AB78" s="3">
        <f>ROUND(UtilBuild*D78+UtilAfter*E78,2)</f>
        <v/>
      </c>
      <c r="AC78" s="3">
        <f>ROUND(StagingMonthly*F78,2)</f>
        <v/>
      </c>
      <c r="AD78" s="3">
        <f>ROUND(UpkeepMonthly*E78,2)</f>
        <v/>
      </c>
      <c r="AE78" s="3">
        <f>ROUND(HoaMonthly*C78,2)</f>
        <v/>
      </c>
      <c r="AF78" s="3">
        <f>IF(A78=0,LandPrice-LandLoan+LandClosing+LandPoints,0)</f>
        <v/>
      </c>
      <c r="AG78" s="3">
        <f>AF78+N78+R78+S78+U78+X78+Y78+Z78+AA78+AB78+AC78+AD78+AE78</f>
        <v/>
      </c>
      <c r="AH78" s="3">
        <f>AH77+AG78</f>
        <v/>
      </c>
      <c r="AJ78">
        <f>A78</f>
        <v/>
      </c>
      <c r="AK78">
        <f>IF(AJ78&lt;ExtCount,INT(Maturity+AJ78*ExtensionMonths),"")</f>
        <v/>
      </c>
    </row>
    <row r="79">
      <c r="A79">
        <f>A78+1</f>
        <v/>
      </c>
      <c r="B79" s="5">
        <f>MAX(0,MIN(A79+1,SaleClose)-MAX(A79,BuildStart))</f>
        <v/>
      </c>
      <c r="C79" s="5">
        <f>MAX(0,MIN(A79+1,SaleClose)-MAX(A79,0))</f>
        <v/>
      </c>
      <c r="D79" s="5">
        <f>MAX(0,MIN(A79+1,Completion)-MAX(A79,BuildStart))</f>
        <v/>
      </c>
      <c r="E79" s="5">
        <f>MAX(0,MIN(A79+1,SaleClose)-MAX(A79,Completion))</f>
        <v/>
      </c>
      <c r="F79" s="5">
        <f>MAX(0,MIN(A79+1,Contract)-MAX(A79,ListMonth))</f>
        <v/>
      </c>
      <c r="G79" s="6">
        <f>IF(AND(A79&gt;=BuildStart,A79&lt;BuildStart+BuildMonths),SIN(PI()*(A79-BuildStart+0.5)/BuildMonths),0)</f>
        <v/>
      </c>
      <c r="H79" s="3">
        <f>IF(AND(A79&gt;=BuildStart,A79&lt;BuildStart+BuildMonths-1),ROUND(HardActual*(G79/DrawWeightSum),2),IF(A79=BuildStart+BuildMonths-1,HardActual-SUM(H$65:H78),0))</f>
        <v/>
      </c>
      <c r="I79" s="3">
        <f>IF(A79=0,SoftActual,0)+H79</f>
        <v/>
      </c>
      <c r="J79" s="3">
        <f>O78</f>
        <v/>
      </c>
      <c r="K79" s="3">
        <f>P78</f>
        <v/>
      </c>
      <c r="L79" s="3">
        <f>MIN(I79,MAX(0,EquityReq-J79))</f>
        <v/>
      </c>
      <c r="M79" s="3">
        <f>MIN(I79-L79,Commitment-K79)</f>
        <v/>
      </c>
      <c r="N79" s="3">
        <f>L79+(I79-L79-M79)</f>
        <v/>
      </c>
      <c r="O79" s="3">
        <f>J79+I79</f>
        <v/>
      </c>
      <c r="P79" s="3">
        <f>K79+M79</f>
        <v/>
      </c>
      <c r="Q79" s="3">
        <f>W78</f>
        <v/>
      </c>
      <c r="R79" s="3">
        <f>IF(AND(A79=BuildStart,Commitment&gt;0),ConstrPoints,0)</f>
        <v/>
      </c>
      <c r="S79" s="3">
        <f>IF(M79&gt;0,DrawFee,0)</f>
        <v/>
      </c>
      <c r="T79" s="3">
        <f>ROUND(Q79*LoanRate/12*B79,2)</f>
        <v/>
      </c>
      <c r="U79" s="3">
        <f>IF(CapFlag=1,0,T79)</f>
        <v/>
      </c>
      <c r="V79" s="3">
        <f>IF(CapFlag=1,T79,0)</f>
        <v/>
      </c>
      <c r="W79" s="3">
        <f>Q79+M79+V79</f>
        <v/>
      </c>
      <c r="X79" s="3">
        <f>ROUND(LandLoan*LandRate/12*C79,2)</f>
        <v/>
      </c>
      <c r="Y79" s="3">
        <f>COUNTIF(colExtPeriod,A79)*ExtFee</f>
        <v/>
      </c>
      <c r="Z79" s="3">
        <f>ROUND(TaxRate/12*(LandPrice+O79)*C79,2)</f>
        <v/>
      </c>
      <c r="AA79" s="3">
        <f>ROUND(InsuranceRate/12*EstimateTotal*B79,2)</f>
        <v/>
      </c>
      <c r="AB79" s="3">
        <f>ROUND(UtilBuild*D79+UtilAfter*E79,2)</f>
        <v/>
      </c>
      <c r="AC79" s="3">
        <f>ROUND(StagingMonthly*F79,2)</f>
        <v/>
      </c>
      <c r="AD79" s="3">
        <f>ROUND(UpkeepMonthly*E79,2)</f>
        <v/>
      </c>
      <c r="AE79" s="3">
        <f>ROUND(HoaMonthly*C79,2)</f>
        <v/>
      </c>
      <c r="AF79" s="3">
        <f>IF(A79=0,LandPrice-LandLoan+LandClosing+LandPoints,0)</f>
        <v/>
      </c>
      <c r="AG79" s="3">
        <f>AF79+N79+R79+S79+U79+X79+Y79+Z79+AA79+AB79+AC79+AD79+AE79</f>
        <v/>
      </c>
      <c r="AH79" s="3">
        <f>AH78+AG79</f>
        <v/>
      </c>
      <c r="AJ79">
        <f>A79</f>
        <v/>
      </c>
      <c r="AK79">
        <f>IF(AJ79&lt;ExtCount,INT(Maturity+AJ79*ExtensionMonths),"")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0"/>
  <sheetViews>
    <sheetView workbookViewId="0">
      <pane xSplit="1" ySplit="64" topLeftCell="B6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6" max="36"/>
    <col width="16" customWidth="1" min="37" max="37"/>
  </cols>
  <sheetData>
    <row r="1">
      <c r="A1" s="1" t="inlineStr">
        <is>
          <t>Golden deal - stress scenario</t>
        </is>
      </c>
    </row>
    <row r="2">
      <c r="A2" t="inlineStr">
        <is>
          <t>Every value below is a formula implementing the Reference cash-flow algorithm (dollars).</t>
        </is>
      </c>
    </row>
    <row r="4">
      <c r="A4" s="2" t="inlineStr">
        <is>
          <t>Scenario inputs</t>
        </is>
      </c>
    </row>
    <row r="5">
      <c r="A5" t="inlineStr">
        <is>
          <t>Sale price</t>
        </is>
      </c>
      <c r="B5" s="3">
        <f>Inputs!$B$47</f>
        <v/>
      </c>
    </row>
    <row r="6">
      <c r="A6" t="inlineStr">
        <is>
          <t>Days on market</t>
        </is>
      </c>
      <c r="B6">
        <f>Inputs!$C$47</f>
        <v/>
      </c>
    </row>
    <row r="7">
      <c r="A7" t="inlineStr">
        <is>
          <t>Cost overrun</t>
        </is>
      </c>
      <c r="B7" s="4">
        <f>Inputs!$D$47</f>
        <v/>
      </c>
    </row>
    <row r="9">
      <c r="A9" s="2" t="inlineStr">
        <is>
          <t>Times (months) - Reference step 1</t>
        </is>
      </c>
    </row>
    <row r="10">
      <c r="A10" t="inlineStr">
        <is>
          <t>Build start = P</t>
        </is>
      </c>
      <c r="B10" s="5">
        <f>PreConMonths</f>
        <v/>
      </c>
    </row>
    <row r="11">
      <c r="A11" t="inlineStr">
        <is>
          <t>Completion = P + B</t>
        </is>
      </c>
      <c r="B11" s="5">
        <f>BuildStart+BuildMonths</f>
        <v/>
      </c>
    </row>
    <row r="12">
      <c r="A12" t="inlineStr">
        <is>
          <t>List = completion - L</t>
        </is>
      </c>
      <c r="B12" s="5">
        <f>Completion-ListEarlyMonths</f>
        <v/>
      </c>
    </row>
    <row r="13">
      <c r="A13" t="inlineStr">
        <is>
          <t>Contract = list + DOM / MONTH_DAYS</t>
        </is>
      </c>
      <c r="B13" s="5">
        <f>ListMonth+DomDays/MonthDays</f>
        <v/>
      </c>
    </row>
    <row r="14">
      <c r="A14" t="inlineStr">
        <is>
          <t>Sale close = max(contract + closingDays / MONTH_DAYS, completion)</t>
        </is>
      </c>
      <c r="B14" s="5">
        <f>MAX(Contract+ClosingDays/MonthDays,Completion)</f>
        <v/>
      </c>
    </row>
    <row r="15">
      <c r="A15" t="inlineStr">
        <is>
          <t>Loan maturity = build start + term</t>
        </is>
      </c>
      <c r="B15" s="5">
        <f>BuildStart+TermMonths</f>
        <v/>
      </c>
    </row>
    <row r="16">
      <c r="A16" t="inlineStr">
        <is>
          <t>Periods N = ceil(sale close)</t>
        </is>
      </c>
      <c r="B16">
        <f>CEILING(SaleClose,1)</f>
        <v/>
      </c>
    </row>
    <row r="17">
      <c r="A17" t="inlineStr">
        <is>
          <t>Period rows in this sheet</t>
        </is>
      </c>
      <c r="B17">
        <f>COUNT(colK)</f>
        <v/>
      </c>
    </row>
    <row r="19">
      <c r="A19" s="2" t="inlineStr">
        <is>
          <t>Costs and loan - Reference steps 2-8</t>
        </is>
      </c>
    </row>
    <row r="20">
      <c r="A20" t="inlineStr">
        <is>
          <t>Soft actual = round(soft x (1 + overrun))</t>
        </is>
      </c>
      <c r="B20" s="3">
        <f>ROUND(SoftCost*(1+Overrun),2)</f>
        <v/>
      </c>
    </row>
    <row r="21">
      <c r="A21" t="inlineStr">
        <is>
          <t>Hard actual = round(hard x (1 + overrun))</t>
        </is>
      </c>
      <c r="B21" s="3">
        <f>ROUND(HardCost*(1+Overrun),2)</f>
        <v/>
      </c>
    </row>
    <row r="22">
      <c r="A22" t="inlineStr">
        <is>
          <t>Sum of draw sines</t>
        </is>
      </c>
      <c r="B22" s="6">
        <f>SUM(colSine)</f>
        <v/>
      </c>
    </row>
    <row r="23">
      <c r="A23" t="inlineStr">
        <is>
          <t>Loan commitment = round(LTC x estimate total)</t>
        </is>
      </c>
      <c r="B23" s="3">
        <f>ROUND(Ltc*EstimateTotal,2)</f>
        <v/>
      </c>
    </row>
    <row r="24">
      <c r="A24" t="inlineStr">
        <is>
          <t>Equity requirement = estimate total - commitment</t>
        </is>
      </c>
      <c r="B24" s="3">
        <f>EstimateTotal-Commitment</f>
        <v/>
      </c>
    </row>
    <row r="25">
      <c r="A25" t="inlineStr">
        <is>
          <t>Construction points = round(points x commitment)</t>
        </is>
      </c>
      <c r="B25" s="3">
        <f>IF(Commitment&gt;0,ROUND(PointsPct*Commitment,2),0)</f>
        <v/>
      </c>
    </row>
    <row r="26">
      <c r="A26" t="inlineStr">
        <is>
          <t>Land loan = round(LTV x land price)</t>
        </is>
      </c>
      <c r="B26" s="3">
        <f>ROUND(LandLtv*LandPrice,2)</f>
        <v/>
      </c>
    </row>
    <row r="27">
      <c r="A27" t="inlineStr">
        <is>
          <t>Land points = round(points x land loan)</t>
        </is>
      </c>
      <c r="B27" s="3">
        <f>ROUND(LandPointsPct*LandLoan,2)</f>
        <v/>
      </c>
    </row>
    <row r="28">
      <c r="A28" t="inlineStr">
        <is>
          <t>Extensions n</t>
        </is>
      </c>
      <c r="B28">
        <f>IF(AND(Commitment&gt;0,SaleClose&gt;Maturity),CEILING((SaleClose-Maturity)/ExtensionMonths,1),0)</f>
        <v/>
      </c>
    </row>
    <row r="29">
      <c r="A29" t="inlineStr">
        <is>
          <t>Extension fee each = round(extension % x commitment)</t>
        </is>
      </c>
      <c r="B29" s="3">
        <f>ROUND(ExtensionPct*Commitment,2)</f>
        <v/>
      </c>
    </row>
    <row r="30">
      <c r="A30" t="inlineStr">
        <is>
          <t>Interest capitalized (1 = yes)</t>
        </is>
      </c>
      <c r="B30">
        <f>IF(InterestMode="capitalized",1,0)</f>
        <v/>
      </c>
    </row>
    <row r="32">
      <c r="A32" s="2" t="inlineStr">
        <is>
          <t>Sale (at sale close, booked on period N-1) - Reference step 11</t>
        </is>
      </c>
    </row>
    <row r="33">
      <c r="A33" t="inlineStr">
        <is>
          <t>Commissions = round(price x (listing + buyer))</t>
        </is>
      </c>
      <c r="B33" s="3">
        <f>ROUND(SalePrice*(ListingPct+BuyerPct),2)</f>
        <v/>
      </c>
    </row>
    <row r="34">
      <c r="A34" t="inlineStr">
        <is>
          <t>Closing = round(price x closing %)</t>
        </is>
      </c>
      <c r="B34" s="3">
        <f>ROUND(SalePrice*ClosingPct,2)</f>
        <v/>
      </c>
    </row>
    <row r="35">
      <c r="A35" t="inlineStr">
        <is>
          <t>Concessions</t>
        </is>
      </c>
      <c r="B35" s="3">
        <f>Concessions</f>
        <v/>
      </c>
    </row>
    <row r="36">
      <c r="A36" t="inlineStr">
        <is>
          <t>Net = price - commissions - closing - concessions</t>
        </is>
      </c>
      <c r="B36" s="3">
        <f>SalePrice-Commissions-SaleClosing-SaleConcessions</f>
        <v/>
      </c>
    </row>
    <row r="37">
      <c r="A37" t="inlineStr">
        <is>
          <t>Loan drawn</t>
        </is>
      </c>
      <c r="B37" s="3">
        <f>SUM(colLoanDraw)</f>
        <v/>
      </c>
    </row>
    <row r="38">
      <c r="A38" t="inlineStr">
        <is>
          <t>Capitalized interest</t>
        </is>
      </c>
      <c r="B38" s="3">
        <f>SUM(colInterestCap)</f>
        <v/>
      </c>
    </row>
    <row r="39">
      <c r="A39" t="inlineStr">
        <is>
          <t>Loan payoff = drawn + capitalized interest + land loan</t>
        </is>
      </c>
      <c r="B39" s="3">
        <f>LoanDrawn+CapInterest+LandLoan</f>
        <v/>
      </c>
    </row>
    <row r="40">
      <c r="A40" t="inlineStr">
        <is>
          <t>Equity return = net - payoff</t>
        </is>
      </c>
      <c r="B40" s="3">
        <f>NetProceeds-Payoff</f>
        <v/>
      </c>
    </row>
    <row r="42">
      <c r="A42" s="2" t="inlineStr">
        <is>
          <t>Totals and metrics - Reference steps 12-15</t>
        </is>
      </c>
    </row>
    <row r="43">
      <c r="A43" t="inlineStr">
        <is>
          <t>Build spent = soft actual + hard actual</t>
        </is>
      </c>
      <c r="B43" s="3">
        <f>SoftActual+HardActual</f>
        <v/>
      </c>
    </row>
    <row r="44">
      <c r="A44" t="inlineStr">
        <is>
          <t>Financing</t>
        </is>
      </c>
      <c r="B44" s="3">
        <f>SUM(colPoints)+LandPoints+SUM(colInterest)+SUM(colLandInterest)+SUM(colDrawFee)+SUM(colExtensionFee)</f>
        <v/>
      </c>
    </row>
    <row r="45">
      <c r="A45" t="inlineStr">
        <is>
          <t>Carry</t>
        </is>
      </c>
      <c r="B45" s="3">
        <f>SUM(colTax)+SUM(colInsurance)+SUM(colUtilities)+SUM(colStaging)+SUM(colUpkeep)+SUM(colHoa)</f>
        <v/>
      </c>
    </row>
    <row r="46">
      <c r="A46" t="inlineStr">
        <is>
          <t>Total project cost</t>
        </is>
      </c>
      <c r="B46" s="3">
        <f>LandPrice+LandClosing+BuildSpent+Financing+Carry</f>
        <v/>
      </c>
    </row>
    <row r="47">
      <c r="A47" t="inlineStr">
        <is>
          <t>Selling costs</t>
        </is>
      </c>
      <c r="B47" s="3">
        <f>Commissions+SaleClosing+SaleConcessions</f>
        <v/>
      </c>
    </row>
    <row r="48">
      <c r="A48" t="inlineStr">
        <is>
          <t>Profit</t>
        </is>
      </c>
      <c r="B48" s="3">
        <f>SalePrice-SellingCosts-TotalProjectCost</f>
        <v/>
      </c>
    </row>
    <row r="49">
      <c r="A49" t="inlineStr">
        <is>
          <t>Peak cash</t>
        </is>
      </c>
      <c r="B49" s="3">
        <f>MAX(colCumEquity)</f>
        <v/>
      </c>
    </row>
    <row r="50">
      <c r="A50" t="inlineStr">
        <is>
          <t>Break-even sale price</t>
        </is>
      </c>
      <c r="B50" s="3">
        <f>ROUND((TotalProjectCost+Concessions)/(1-ListingPct-BuyerPct-ClosingPct),2)</f>
        <v/>
      </c>
    </row>
    <row r="51">
      <c r="A51" t="inlineStr">
        <is>
          <t>Loan balance after period completion - 1</t>
        </is>
      </c>
      <c r="B51" s="3">
        <f>INDEX(colBalanceEnd,Completion)</f>
        <v/>
      </c>
    </row>
    <row r="52">
      <c r="A52" t="inlineStr">
        <is>
          <t>Monthly burn while listed</t>
        </is>
      </c>
      <c r="B52" s="3">
        <f>ROUND(BalanceAtCompletion*LoanRate/12,2)+ROUND(LandLoan*LandRate/12,2)+ROUND(TaxRate/12*(LandPrice+BuildSpent),2)+ROUND(InsuranceRate/12*EstimateTotal,2)+UtilAfter+StagingMonthly+UpkeepMonthly+HoaMonthly</f>
        <v/>
      </c>
    </row>
    <row r="53">
      <c r="A53" t="inlineStr">
        <is>
          <t>Max DOM without extension (blank = no loan)</t>
        </is>
      </c>
      <c r="B53">
        <f>IF(Commitment=0,"",MAX(0,INT((Maturity-ListMonth)*MonthDays-ClosingDays)))</f>
        <v/>
      </c>
    </row>
    <row r="55">
      <c r="A55" s="2" t="inlineStr">
        <is>
          <t>Checks (each should be 0)</t>
        </is>
      </c>
    </row>
    <row r="56">
      <c r="A56" t="inlineStr">
        <is>
          <t>N - period rows</t>
        </is>
      </c>
      <c r="B56">
        <f>PeriodCount-RowsInSchedule</f>
        <v/>
      </c>
    </row>
    <row r="57">
      <c r="A57" t="inlineStr">
        <is>
          <t>Sum of spend - build spent</t>
        </is>
      </c>
      <c r="B57" s="3">
        <f>SUM(colSpend)-BuildSpent</f>
        <v/>
      </c>
    </row>
    <row r="58">
      <c r="A58" t="inlineStr">
        <is>
          <t>Sum of equity spend + loan draws - build spent</t>
        </is>
      </c>
      <c r="B58" s="3">
        <f>SUM(colEquitySpend)+SUM(colLoanDraw)-BuildSpent</f>
        <v/>
      </c>
    </row>
    <row r="59">
      <c r="A59" t="inlineStr">
        <is>
          <t>Equity return - sum of equity out - profit</t>
        </is>
      </c>
      <c r="B59" s="3">
        <f>EquityReturn-SUM(colEquityOut)-Profit</f>
        <v/>
      </c>
    </row>
    <row r="63">
      <c r="A63" s="2" t="inlineStr">
        <is>
          <t>Monthly schedule (one row per period k)</t>
        </is>
      </c>
    </row>
    <row r="64">
      <c r="A64" s="2" t="inlineStr">
        <is>
          <t>Period k</t>
        </is>
      </c>
      <c r="B64" s="2" t="inlineStr">
        <is>
          <t>Overlap build start-&gt;sale close</t>
        </is>
      </c>
      <c r="C64" s="2" t="inlineStr">
        <is>
          <t>Overlap 0-&gt;sale close</t>
        </is>
      </c>
      <c r="D64" s="2" t="inlineStr">
        <is>
          <t>Overlap build start-&gt;completion</t>
        </is>
      </c>
      <c r="E64" s="2" t="inlineStr">
        <is>
          <t>Overlap completion-&gt;sale close</t>
        </is>
      </c>
      <c r="F64" s="2" t="inlineStr">
        <is>
          <t>Overlap list-&gt;contract</t>
        </is>
      </c>
      <c r="G64" s="2" t="inlineStr">
        <is>
          <t>Draw sine sin(pi(i+0.5)/B)</t>
        </is>
      </c>
      <c r="H64" s="2" t="inlineStr">
        <is>
          <t>Hard-cost draw</t>
        </is>
      </c>
      <c r="I64" s="2" t="inlineStr">
        <is>
          <t>Spend x</t>
        </is>
      </c>
      <c r="J64" s="2" t="inlineStr">
        <is>
          <t>Spend before (S)</t>
        </is>
      </c>
      <c r="K64" s="2" t="inlineStr">
        <is>
          <t>Loan drawn before</t>
        </is>
      </c>
      <c r="L64" s="2" t="inlineStr">
        <is>
          <t>Equity first</t>
        </is>
      </c>
      <c r="M64" s="2" t="inlineStr">
        <is>
          <t>Loan draw (ln)</t>
        </is>
      </c>
      <c r="N64" s="2" t="inlineStr">
        <is>
          <t>Equity spend (eq)</t>
        </is>
      </c>
      <c r="O64" s="2" t="inlineStr">
        <is>
          <t>Spend through period</t>
        </is>
      </c>
      <c r="P64" s="2" t="inlineStr">
        <is>
          <t>Loan drawn through period</t>
        </is>
      </c>
      <c r="Q64" s="2" t="inlineStr">
        <is>
          <t>Loan balance at start</t>
        </is>
      </c>
      <c r="R64" s="2" t="inlineStr">
        <is>
          <t>Construction points</t>
        </is>
      </c>
      <c r="S64" s="2" t="inlineStr">
        <is>
          <t>Draw fee</t>
        </is>
      </c>
      <c r="T64" s="2" t="inlineStr">
        <is>
          <t>Construction interest</t>
        </is>
      </c>
      <c r="U64" s="2" t="inlineStr">
        <is>
          <t>Interest paid</t>
        </is>
      </c>
      <c r="V64" s="2" t="inlineStr">
        <is>
          <t>Interest capitalized</t>
        </is>
      </c>
      <c r="W64" s="2" t="inlineStr">
        <is>
          <t>Loan balance at end</t>
        </is>
      </c>
      <c r="X64" s="2" t="inlineStr">
        <is>
          <t>Land loan interest</t>
        </is>
      </c>
      <c r="Y64" s="2" t="inlineStr">
        <is>
          <t>Extension fees</t>
        </is>
      </c>
      <c r="Z64" s="2" t="inlineStr">
        <is>
          <t>Property tax</t>
        </is>
      </c>
      <c r="AA64" s="2" t="inlineStr">
        <is>
          <t>Insurance</t>
        </is>
      </c>
      <c r="AB64" s="2" t="inlineStr">
        <is>
          <t>Utilities</t>
        </is>
      </c>
      <c r="AC64" s="2" t="inlineStr">
        <is>
          <t>Staging</t>
        </is>
      </c>
      <c r="AD64" s="2" t="inlineStr">
        <is>
          <t>Upkeep</t>
        </is>
      </c>
      <c r="AE64" s="2" t="inlineStr">
        <is>
          <t>HOA</t>
        </is>
      </c>
      <c r="AF64" s="2" t="inlineStr">
        <is>
          <t>Land purchase (equity)</t>
        </is>
      </c>
      <c r="AG64" s="2" t="inlineStr">
        <is>
          <t>Equity out</t>
        </is>
      </c>
      <c r="AH64" s="2" t="inlineStr">
        <is>
          <t>Cumulative equity out</t>
        </is>
      </c>
      <c r="AI64" s="2" t="inlineStr"/>
      <c r="AJ64" s="2" t="inlineStr">
        <is>
          <t>Extension j</t>
        </is>
      </c>
      <c r="AK64" s="2" t="inlineStr">
        <is>
          <t>Extension j fee period</t>
        </is>
      </c>
    </row>
    <row r="65">
      <c r="A65">
        <f>0</f>
        <v/>
      </c>
      <c r="B65" s="5">
        <f>MAX(0,MIN(A65+1,SaleClose)-MAX(A65,BuildStart))</f>
        <v/>
      </c>
      <c r="C65" s="5">
        <f>MAX(0,MIN(A65+1,SaleClose)-MAX(A65,0))</f>
        <v/>
      </c>
      <c r="D65" s="5">
        <f>MAX(0,MIN(A65+1,Completion)-MAX(A65,BuildStart))</f>
        <v/>
      </c>
      <c r="E65" s="5">
        <f>MAX(0,MIN(A65+1,SaleClose)-MAX(A65,Completion))</f>
        <v/>
      </c>
      <c r="F65" s="5">
        <f>MAX(0,MIN(A65+1,Contract)-MAX(A65,ListMonth))</f>
        <v/>
      </c>
      <c r="G65" s="6">
        <f>IF(AND(A65&gt;=BuildStart,A65&lt;BuildStart+BuildMonths),SIN(PI()*(A65-BuildStart+0.5)/BuildMonths),0)</f>
        <v/>
      </c>
      <c r="H65" s="3">
        <f>IF(AND(A65&gt;=BuildStart,A65&lt;BuildStart+BuildMonths-1),ROUND(HardActual*(G65/DrawWeightSum),2),IF(A65=BuildStart+BuildMonths-1,HardActual-0,0))</f>
        <v/>
      </c>
      <c r="I65" s="3">
        <f>IF(A65=0,SoftActual,0)+H65</f>
        <v/>
      </c>
      <c r="J65" s="3">
        <f>0</f>
        <v/>
      </c>
      <c r="K65" s="3">
        <f>0</f>
        <v/>
      </c>
      <c r="L65" s="3">
        <f>MIN(I65,MAX(0,EquityReq-J65))</f>
        <v/>
      </c>
      <c r="M65" s="3">
        <f>MIN(I65-L65,Commitment-K65)</f>
        <v/>
      </c>
      <c r="N65" s="3">
        <f>L65+(I65-L65-M65)</f>
        <v/>
      </c>
      <c r="O65" s="3">
        <f>J65+I65</f>
        <v/>
      </c>
      <c r="P65" s="3">
        <f>K65+M65</f>
        <v/>
      </c>
      <c r="Q65" s="3">
        <f>0</f>
        <v/>
      </c>
      <c r="R65" s="3">
        <f>IF(AND(A65=BuildStart,Commitment&gt;0),ConstrPoints,0)</f>
        <v/>
      </c>
      <c r="S65" s="3">
        <f>IF(M65&gt;0,DrawFee,0)</f>
        <v/>
      </c>
      <c r="T65" s="3">
        <f>ROUND(Q65*LoanRate/12*B65,2)</f>
        <v/>
      </c>
      <c r="U65" s="3">
        <f>IF(CapFlag=1,0,T65)</f>
        <v/>
      </c>
      <c r="V65" s="3">
        <f>IF(CapFlag=1,T65,0)</f>
        <v/>
      </c>
      <c r="W65" s="3">
        <f>Q65+M65+V65</f>
        <v/>
      </c>
      <c r="X65" s="3">
        <f>ROUND(LandLoan*LandRate/12*C65,2)</f>
        <v/>
      </c>
      <c r="Y65" s="3">
        <f>COUNTIF(colExtPeriod,A65)*ExtFee</f>
        <v/>
      </c>
      <c r="Z65" s="3">
        <f>ROUND(TaxRate/12*(LandPrice+O65)*C65,2)</f>
        <v/>
      </c>
      <c r="AA65" s="3">
        <f>ROUND(InsuranceRate/12*EstimateTotal*B65,2)</f>
        <v/>
      </c>
      <c r="AB65" s="3">
        <f>ROUND(UtilBuild*D65+UtilAfter*E65,2)</f>
        <v/>
      </c>
      <c r="AC65" s="3">
        <f>ROUND(StagingMonthly*F65,2)</f>
        <v/>
      </c>
      <c r="AD65" s="3">
        <f>ROUND(UpkeepMonthly*E65,2)</f>
        <v/>
      </c>
      <c r="AE65" s="3">
        <f>ROUND(HoaMonthly*C65,2)</f>
        <v/>
      </c>
      <c r="AF65" s="3">
        <f>IF(A65=0,LandPrice-LandLoan+LandClosing+LandPoints,0)</f>
        <v/>
      </c>
      <c r="AG65" s="3">
        <f>AF65+N65+R65+S65+U65+X65+Y65+Z65+AA65+AB65+AC65+AD65+AE65</f>
        <v/>
      </c>
      <c r="AH65" s="3">
        <f>AG65</f>
        <v/>
      </c>
      <c r="AJ65">
        <f>A65</f>
        <v/>
      </c>
      <c r="AK65">
        <f>IF(AJ65&lt;ExtCount,INT(Maturity+AJ65*ExtensionMonths),"")</f>
        <v/>
      </c>
    </row>
    <row r="66">
      <c r="A66">
        <f>A65+1</f>
        <v/>
      </c>
      <c r="B66" s="5">
        <f>MAX(0,MIN(A66+1,SaleClose)-MAX(A66,BuildStart))</f>
        <v/>
      </c>
      <c r="C66" s="5">
        <f>MAX(0,MIN(A66+1,SaleClose)-MAX(A66,0))</f>
        <v/>
      </c>
      <c r="D66" s="5">
        <f>MAX(0,MIN(A66+1,Completion)-MAX(A66,BuildStart))</f>
        <v/>
      </c>
      <c r="E66" s="5">
        <f>MAX(0,MIN(A66+1,SaleClose)-MAX(A66,Completion))</f>
        <v/>
      </c>
      <c r="F66" s="5">
        <f>MAX(0,MIN(A66+1,Contract)-MAX(A66,ListMonth))</f>
        <v/>
      </c>
      <c r="G66" s="6">
        <f>IF(AND(A66&gt;=BuildStart,A66&lt;BuildStart+BuildMonths),SIN(PI()*(A66-BuildStart+0.5)/BuildMonths),0)</f>
        <v/>
      </c>
      <c r="H66" s="3">
        <f>IF(AND(A66&gt;=BuildStart,A66&lt;BuildStart+BuildMonths-1),ROUND(HardActual*(G66/DrawWeightSum),2),IF(A66=BuildStart+BuildMonths-1,HardActual-SUM(H$65:H65),0))</f>
        <v/>
      </c>
      <c r="I66" s="3">
        <f>IF(A66=0,SoftActual,0)+H66</f>
        <v/>
      </c>
      <c r="J66" s="3">
        <f>O65</f>
        <v/>
      </c>
      <c r="K66" s="3">
        <f>P65</f>
        <v/>
      </c>
      <c r="L66" s="3">
        <f>MIN(I66,MAX(0,EquityReq-J66))</f>
        <v/>
      </c>
      <c r="M66" s="3">
        <f>MIN(I66-L66,Commitment-K66)</f>
        <v/>
      </c>
      <c r="N66" s="3">
        <f>L66+(I66-L66-M66)</f>
        <v/>
      </c>
      <c r="O66" s="3">
        <f>J66+I66</f>
        <v/>
      </c>
      <c r="P66" s="3">
        <f>K66+M66</f>
        <v/>
      </c>
      <c r="Q66" s="3">
        <f>W65</f>
        <v/>
      </c>
      <c r="R66" s="3">
        <f>IF(AND(A66=BuildStart,Commitment&gt;0),ConstrPoints,0)</f>
        <v/>
      </c>
      <c r="S66" s="3">
        <f>IF(M66&gt;0,DrawFee,0)</f>
        <v/>
      </c>
      <c r="T66" s="3">
        <f>ROUND(Q66*LoanRate/12*B66,2)</f>
        <v/>
      </c>
      <c r="U66" s="3">
        <f>IF(CapFlag=1,0,T66)</f>
        <v/>
      </c>
      <c r="V66" s="3">
        <f>IF(CapFlag=1,T66,0)</f>
        <v/>
      </c>
      <c r="W66" s="3">
        <f>Q66+M66+V66</f>
        <v/>
      </c>
      <c r="X66" s="3">
        <f>ROUND(LandLoan*LandRate/12*C66,2)</f>
        <v/>
      </c>
      <c r="Y66" s="3">
        <f>COUNTIF(colExtPeriod,A66)*ExtFee</f>
        <v/>
      </c>
      <c r="Z66" s="3">
        <f>ROUND(TaxRate/12*(LandPrice+O66)*C66,2)</f>
        <v/>
      </c>
      <c r="AA66" s="3">
        <f>ROUND(InsuranceRate/12*EstimateTotal*B66,2)</f>
        <v/>
      </c>
      <c r="AB66" s="3">
        <f>ROUND(UtilBuild*D66+UtilAfter*E66,2)</f>
        <v/>
      </c>
      <c r="AC66" s="3">
        <f>ROUND(StagingMonthly*F66,2)</f>
        <v/>
      </c>
      <c r="AD66" s="3">
        <f>ROUND(UpkeepMonthly*E66,2)</f>
        <v/>
      </c>
      <c r="AE66" s="3">
        <f>ROUND(HoaMonthly*C66,2)</f>
        <v/>
      </c>
      <c r="AF66" s="3">
        <f>IF(A66=0,LandPrice-LandLoan+LandClosing+LandPoints,0)</f>
        <v/>
      </c>
      <c r="AG66" s="3">
        <f>AF66+N66+R66+S66+U66+X66+Y66+Z66+AA66+AB66+AC66+AD66+AE66</f>
        <v/>
      </c>
      <c r="AH66" s="3">
        <f>AH65+AG66</f>
        <v/>
      </c>
      <c r="AJ66">
        <f>A66</f>
        <v/>
      </c>
      <c r="AK66">
        <f>IF(AJ66&lt;ExtCount,INT(Maturity+AJ66*ExtensionMonths),"")</f>
        <v/>
      </c>
    </row>
    <row r="67">
      <c r="A67">
        <f>A66+1</f>
        <v/>
      </c>
      <c r="B67" s="5">
        <f>MAX(0,MIN(A67+1,SaleClose)-MAX(A67,BuildStart))</f>
        <v/>
      </c>
      <c r="C67" s="5">
        <f>MAX(0,MIN(A67+1,SaleClose)-MAX(A67,0))</f>
        <v/>
      </c>
      <c r="D67" s="5">
        <f>MAX(0,MIN(A67+1,Completion)-MAX(A67,BuildStart))</f>
        <v/>
      </c>
      <c r="E67" s="5">
        <f>MAX(0,MIN(A67+1,SaleClose)-MAX(A67,Completion))</f>
        <v/>
      </c>
      <c r="F67" s="5">
        <f>MAX(0,MIN(A67+1,Contract)-MAX(A67,ListMonth))</f>
        <v/>
      </c>
      <c r="G67" s="6">
        <f>IF(AND(A67&gt;=BuildStart,A67&lt;BuildStart+BuildMonths),SIN(PI()*(A67-BuildStart+0.5)/BuildMonths),0)</f>
        <v/>
      </c>
      <c r="H67" s="3">
        <f>IF(AND(A67&gt;=BuildStart,A67&lt;BuildStart+BuildMonths-1),ROUND(HardActual*(G67/DrawWeightSum),2),IF(A67=BuildStart+BuildMonths-1,HardActual-SUM(H$65:H66),0))</f>
        <v/>
      </c>
      <c r="I67" s="3">
        <f>IF(A67=0,SoftActual,0)+H67</f>
        <v/>
      </c>
      <c r="J67" s="3">
        <f>O66</f>
        <v/>
      </c>
      <c r="K67" s="3">
        <f>P66</f>
        <v/>
      </c>
      <c r="L67" s="3">
        <f>MIN(I67,MAX(0,EquityReq-J67))</f>
        <v/>
      </c>
      <c r="M67" s="3">
        <f>MIN(I67-L67,Commitment-K67)</f>
        <v/>
      </c>
      <c r="N67" s="3">
        <f>L67+(I67-L67-M67)</f>
        <v/>
      </c>
      <c r="O67" s="3">
        <f>J67+I67</f>
        <v/>
      </c>
      <c r="P67" s="3">
        <f>K67+M67</f>
        <v/>
      </c>
      <c r="Q67" s="3">
        <f>W66</f>
        <v/>
      </c>
      <c r="R67" s="3">
        <f>IF(AND(A67=BuildStart,Commitment&gt;0),ConstrPoints,0)</f>
        <v/>
      </c>
      <c r="S67" s="3">
        <f>IF(M67&gt;0,DrawFee,0)</f>
        <v/>
      </c>
      <c r="T67" s="3">
        <f>ROUND(Q67*LoanRate/12*B67,2)</f>
        <v/>
      </c>
      <c r="U67" s="3">
        <f>IF(CapFlag=1,0,T67)</f>
        <v/>
      </c>
      <c r="V67" s="3">
        <f>IF(CapFlag=1,T67,0)</f>
        <v/>
      </c>
      <c r="W67" s="3">
        <f>Q67+M67+V67</f>
        <v/>
      </c>
      <c r="X67" s="3">
        <f>ROUND(LandLoan*LandRate/12*C67,2)</f>
        <v/>
      </c>
      <c r="Y67" s="3">
        <f>COUNTIF(colExtPeriod,A67)*ExtFee</f>
        <v/>
      </c>
      <c r="Z67" s="3">
        <f>ROUND(TaxRate/12*(LandPrice+O67)*C67,2)</f>
        <v/>
      </c>
      <c r="AA67" s="3">
        <f>ROUND(InsuranceRate/12*EstimateTotal*B67,2)</f>
        <v/>
      </c>
      <c r="AB67" s="3">
        <f>ROUND(UtilBuild*D67+UtilAfter*E67,2)</f>
        <v/>
      </c>
      <c r="AC67" s="3">
        <f>ROUND(StagingMonthly*F67,2)</f>
        <v/>
      </c>
      <c r="AD67" s="3">
        <f>ROUND(UpkeepMonthly*E67,2)</f>
        <v/>
      </c>
      <c r="AE67" s="3">
        <f>ROUND(HoaMonthly*C67,2)</f>
        <v/>
      </c>
      <c r="AF67" s="3">
        <f>IF(A67=0,LandPrice-LandLoan+LandClosing+LandPoints,0)</f>
        <v/>
      </c>
      <c r="AG67" s="3">
        <f>AF67+N67+R67+S67+U67+X67+Y67+Z67+AA67+AB67+AC67+AD67+AE67</f>
        <v/>
      </c>
      <c r="AH67" s="3">
        <f>AH66+AG67</f>
        <v/>
      </c>
      <c r="AJ67">
        <f>A67</f>
        <v/>
      </c>
      <c r="AK67">
        <f>IF(AJ67&lt;ExtCount,INT(Maturity+AJ67*ExtensionMonths),"")</f>
        <v/>
      </c>
    </row>
    <row r="68">
      <c r="A68">
        <f>A67+1</f>
        <v/>
      </c>
      <c r="B68" s="5">
        <f>MAX(0,MIN(A68+1,SaleClose)-MAX(A68,BuildStart))</f>
        <v/>
      </c>
      <c r="C68" s="5">
        <f>MAX(0,MIN(A68+1,SaleClose)-MAX(A68,0))</f>
        <v/>
      </c>
      <c r="D68" s="5">
        <f>MAX(0,MIN(A68+1,Completion)-MAX(A68,BuildStart))</f>
        <v/>
      </c>
      <c r="E68" s="5">
        <f>MAX(0,MIN(A68+1,SaleClose)-MAX(A68,Completion))</f>
        <v/>
      </c>
      <c r="F68" s="5">
        <f>MAX(0,MIN(A68+1,Contract)-MAX(A68,ListMonth))</f>
        <v/>
      </c>
      <c r="G68" s="6">
        <f>IF(AND(A68&gt;=BuildStart,A68&lt;BuildStart+BuildMonths),SIN(PI()*(A68-BuildStart+0.5)/BuildMonths),0)</f>
        <v/>
      </c>
      <c r="H68" s="3">
        <f>IF(AND(A68&gt;=BuildStart,A68&lt;BuildStart+BuildMonths-1),ROUND(HardActual*(G68/DrawWeightSum),2),IF(A68=BuildStart+BuildMonths-1,HardActual-SUM(H$65:H67),0))</f>
        <v/>
      </c>
      <c r="I68" s="3">
        <f>IF(A68=0,SoftActual,0)+H68</f>
        <v/>
      </c>
      <c r="J68" s="3">
        <f>O67</f>
        <v/>
      </c>
      <c r="K68" s="3">
        <f>P67</f>
        <v/>
      </c>
      <c r="L68" s="3">
        <f>MIN(I68,MAX(0,EquityReq-J68))</f>
        <v/>
      </c>
      <c r="M68" s="3">
        <f>MIN(I68-L68,Commitment-K68)</f>
        <v/>
      </c>
      <c r="N68" s="3">
        <f>L68+(I68-L68-M68)</f>
        <v/>
      </c>
      <c r="O68" s="3">
        <f>J68+I68</f>
        <v/>
      </c>
      <c r="P68" s="3">
        <f>K68+M68</f>
        <v/>
      </c>
      <c r="Q68" s="3">
        <f>W67</f>
        <v/>
      </c>
      <c r="R68" s="3">
        <f>IF(AND(A68=BuildStart,Commitment&gt;0),ConstrPoints,0)</f>
        <v/>
      </c>
      <c r="S68" s="3">
        <f>IF(M68&gt;0,DrawFee,0)</f>
        <v/>
      </c>
      <c r="T68" s="3">
        <f>ROUND(Q68*LoanRate/12*B68,2)</f>
        <v/>
      </c>
      <c r="U68" s="3">
        <f>IF(CapFlag=1,0,T68)</f>
        <v/>
      </c>
      <c r="V68" s="3">
        <f>IF(CapFlag=1,T68,0)</f>
        <v/>
      </c>
      <c r="W68" s="3">
        <f>Q68+M68+V68</f>
        <v/>
      </c>
      <c r="X68" s="3">
        <f>ROUND(LandLoan*LandRate/12*C68,2)</f>
        <v/>
      </c>
      <c r="Y68" s="3">
        <f>COUNTIF(colExtPeriod,A68)*ExtFee</f>
        <v/>
      </c>
      <c r="Z68" s="3">
        <f>ROUND(TaxRate/12*(LandPrice+O68)*C68,2)</f>
        <v/>
      </c>
      <c r="AA68" s="3">
        <f>ROUND(InsuranceRate/12*EstimateTotal*B68,2)</f>
        <v/>
      </c>
      <c r="AB68" s="3">
        <f>ROUND(UtilBuild*D68+UtilAfter*E68,2)</f>
        <v/>
      </c>
      <c r="AC68" s="3">
        <f>ROUND(StagingMonthly*F68,2)</f>
        <v/>
      </c>
      <c r="AD68" s="3">
        <f>ROUND(UpkeepMonthly*E68,2)</f>
        <v/>
      </c>
      <c r="AE68" s="3">
        <f>ROUND(HoaMonthly*C68,2)</f>
        <v/>
      </c>
      <c r="AF68" s="3">
        <f>IF(A68=0,LandPrice-LandLoan+LandClosing+LandPoints,0)</f>
        <v/>
      </c>
      <c r="AG68" s="3">
        <f>AF68+N68+R68+S68+U68+X68+Y68+Z68+AA68+AB68+AC68+AD68+AE68</f>
        <v/>
      </c>
      <c r="AH68" s="3">
        <f>AH67+AG68</f>
        <v/>
      </c>
      <c r="AJ68">
        <f>A68</f>
        <v/>
      </c>
      <c r="AK68">
        <f>IF(AJ68&lt;ExtCount,INT(Maturity+AJ68*ExtensionMonths),"")</f>
        <v/>
      </c>
    </row>
    <row r="69">
      <c r="A69">
        <f>A68+1</f>
        <v/>
      </c>
      <c r="B69" s="5">
        <f>MAX(0,MIN(A69+1,SaleClose)-MAX(A69,BuildStart))</f>
        <v/>
      </c>
      <c r="C69" s="5">
        <f>MAX(0,MIN(A69+1,SaleClose)-MAX(A69,0))</f>
        <v/>
      </c>
      <c r="D69" s="5">
        <f>MAX(0,MIN(A69+1,Completion)-MAX(A69,BuildStart))</f>
        <v/>
      </c>
      <c r="E69" s="5">
        <f>MAX(0,MIN(A69+1,SaleClose)-MAX(A69,Completion))</f>
        <v/>
      </c>
      <c r="F69" s="5">
        <f>MAX(0,MIN(A69+1,Contract)-MAX(A69,ListMonth))</f>
        <v/>
      </c>
      <c r="G69" s="6">
        <f>IF(AND(A69&gt;=BuildStart,A69&lt;BuildStart+BuildMonths),SIN(PI()*(A69-BuildStart+0.5)/BuildMonths),0)</f>
        <v/>
      </c>
      <c r="H69" s="3">
        <f>IF(AND(A69&gt;=BuildStart,A69&lt;BuildStart+BuildMonths-1),ROUND(HardActual*(G69/DrawWeightSum),2),IF(A69=BuildStart+BuildMonths-1,HardActual-SUM(H$65:H68),0))</f>
        <v/>
      </c>
      <c r="I69" s="3">
        <f>IF(A69=0,SoftActual,0)+H69</f>
        <v/>
      </c>
      <c r="J69" s="3">
        <f>O68</f>
        <v/>
      </c>
      <c r="K69" s="3">
        <f>P68</f>
        <v/>
      </c>
      <c r="L69" s="3">
        <f>MIN(I69,MAX(0,EquityReq-J69))</f>
        <v/>
      </c>
      <c r="M69" s="3">
        <f>MIN(I69-L69,Commitment-K69)</f>
        <v/>
      </c>
      <c r="N69" s="3">
        <f>L69+(I69-L69-M69)</f>
        <v/>
      </c>
      <c r="O69" s="3">
        <f>J69+I69</f>
        <v/>
      </c>
      <c r="P69" s="3">
        <f>K69+M69</f>
        <v/>
      </c>
      <c r="Q69" s="3">
        <f>W68</f>
        <v/>
      </c>
      <c r="R69" s="3">
        <f>IF(AND(A69=BuildStart,Commitment&gt;0),ConstrPoints,0)</f>
        <v/>
      </c>
      <c r="S69" s="3">
        <f>IF(M69&gt;0,DrawFee,0)</f>
        <v/>
      </c>
      <c r="T69" s="3">
        <f>ROUND(Q69*LoanRate/12*B69,2)</f>
        <v/>
      </c>
      <c r="U69" s="3">
        <f>IF(CapFlag=1,0,T69)</f>
        <v/>
      </c>
      <c r="V69" s="3">
        <f>IF(CapFlag=1,T69,0)</f>
        <v/>
      </c>
      <c r="W69" s="3">
        <f>Q69+M69+V69</f>
        <v/>
      </c>
      <c r="X69" s="3">
        <f>ROUND(LandLoan*LandRate/12*C69,2)</f>
        <v/>
      </c>
      <c r="Y69" s="3">
        <f>COUNTIF(colExtPeriod,A69)*ExtFee</f>
        <v/>
      </c>
      <c r="Z69" s="3">
        <f>ROUND(TaxRate/12*(LandPrice+O69)*C69,2)</f>
        <v/>
      </c>
      <c r="AA69" s="3">
        <f>ROUND(InsuranceRate/12*EstimateTotal*B69,2)</f>
        <v/>
      </c>
      <c r="AB69" s="3">
        <f>ROUND(UtilBuild*D69+UtilAfter*E69,2)</f>
        <v/>
      </c>
      <c r="AC69" s="3">
        <f>ROUND(StagingMonthly*F69,2)</f>
        <v/>
      </c>
      <c r="AD69" s="3">
        <f>ROUND(UpkeepMonthly*E69,2)</f>
        <v/>
      </c>
      <c r="AE69" s="3">
        <f>ROUND(HoaMonthly*C69,2)</f>
        <v/>
      </c>
      <c r="AF69" s="3">
        <f>IF(A69=0,LandPrice-LandLoan+LandClosing+LandPoints,0)</f>
        <v/>
      </c>
      <c r="AG69" s="3">
        <f>AF69+N69+R69+S69+U69+X69+Y69+Z69+AA69+AB69+AC69+AD69+AE69</f>
        <v/>
      </c>
      <c r="AH69" s="3">
        <f>AH68+AG69</f>
        <v/>
      </c>
      <c r="AJ69">
        <f>A69</f>
        <v/>
      </c>
      <c r="AK69">
        <f>IF(AJ69&lt;ExtCount,INT(Maturity+AJ69*ExtensionMonths),"")</f>
        <v/>
      </c>
    </row>
    <row r="70">
      <c r="A70">
        <f>A69+1</f>
        <v/>
      </c>
      <c r="B70" s="5">
        <f>MAX(0,MIN(A70+1,SaleClose)-MAX(A70,BuildStart))</f>
        <v/>
      </c>
      <c r="C70" s="5">
        <f>MAX(0,MIN(A70+1,SaleClose)-MAX(A70,0))</f>
        <v/>
      </c>
      <c r="D70" s="5">
        <f>MAX(0,MIN(A70+1,Completion)-MAX(A70,BuildStart))</f>
        <v/>
      </c>
      <c r="E70" s="5">
        <f>MAX(0,MIN(A70+1,SaleClose)-MAX(A70,Completion))</f>
        <v/>
      </c>
      <c r="F70" s="5">
        <f>MAX(0,MIN(A70+1,Contract)-MAX(A70,ListMonth))</f>
        <v/>
      </c>
      <c r="G70" s="6">
        <f>IF(AND(A70&gt;=BuildStart,A70&lt;BuildStart+BuildMonths),SIN(PI()*(A70-BuildStart+0.5)/BuildMonths),0)</f>
        <v/>
      </c>
      <c r="H70" s="3">
        <f>IF(AND(A70&gt;=BuildStart,A70&lt;BuildStart+BuildMonths-1),ROUND(HardActual*(G70/DrawWeightSum),2),IF(A70=BuildStart+BuildMonths-1,HardActual-SUM(H$65:H69),0))</f>
        <v/>
      </c>
      <c r="I70" s="3">
        <f>IF(A70=0,SoftActual,0)+H70</f>
        <v/>
      </c>
      <c r="J70" s="3">
        <f>O69</f>
        <v/>
      </c>
      <c r="K70" s="3">
        <f>P69</f>
        <v/>
      </c>
      <c r="L70" s="3">
        <f>MIN(I70,MAX(0,EquityReq-J70))</f>
        <v/>
      </c>
      <c r="M70" s="3">
        <f>MIN(I70-L70,Commitment-K70)</f>
        <v/>
      </c>
      <c r="N70" s="3">
        <f>L70+(I70-L70-M70)</f>
        <v/>
      </c>
      <c r="O70" s="3">
        <f>J70+I70</f>
        <v/>
      </c>
      <c r="P70" s="3">
        <f>K70+M70</f>
        <v/>
      </c>
      <c r="Q70" s="3">
        <f>W69</f>
        <v/>
      </c>
      <c r="R70" s="3">
        <f>IF(AND(A70=BuildStart,Commitment&gt;0),ConstrPoints,0)</f>
        <v/>
      </c>
      <c r="S70" s="3">
        <f>IF(M70&gt;0,DrawFee,0)</f>
        <v/>
      </c>
      <c r="T70" s="3">
        <f>ROUND(Q70*LoanRate/12*B70,2)</f>
        <v/>
      </c>
      <c r="U70" s="3">
        <f>IF(CapFlag=1,0,T70)</f>
        <v/>
      </c>
      <c r="V70" s="3">
        <f>IF(CapFlag=1,T70,0)</f>
        <v/>
      </c>
      <c r="W70" s="3">
        <f>Q70+M70+V70</f>
        <v/>
      </c>
      <c r="X70" s="3">
        <f>ROUND(LandLoan*LandRate/12*C70,2)</f>
        <v/>
      </c>
      <c r="Y70" s="3">
        <f>COUNTIF(colExtPeriod,A70)*ExtFee</f>
        <v/>
      </c>
      <c r="Z70" s="3">
        <f>ROUND(TaxRate/12*(LandPrice+O70)*C70,2)</f>
        <v/>
      </c>
      <c r="AA70" s="3">
        <f>ROUND(InsuranceRate/12*EstimateTotal*B70,2)</f>
        <v/>
      </c>
      <c r="AB70" s="3">
        <f>ROUND(UtilBuild*D70+UtilAfter*E70,2)</f>
        <v/>
      </c>
      <c r="AC70" s="3">
        <f>ROUND(StagingMonthly*F70,2)</f>
        <v/>
      </c>
      <c r="AD70" s="3">
        <f>ROUND(UpkeepMonthly*E70,2)</f>
        <v/>
      </c>
      <c r="AE70" s="3">
        <f>ROUND(HoaMonthly*C70,2)</f>
        <v/>
      </c>
      <c r="AF70" s="3">
        <f>IF(A70=0,LandPrice-LandLoan+LandClosing+LandPoints,0)</f>
        <v/>
      </c>
      <c r="AG70" s="3">
        <f>AF70+N70+R70+S70+U70+X70+Y70+Z70+AA70+AB70+AC70+AD70+AE70</f>
        <v/>
      </c>
      <c r="AH70" s="3">
        <f>AH69+AG70</f>
        <v/>
      </c>
      <c r="AJ70">
        <f>A70</f>
        <v/>
      </c>
      <c r="AK70">
        <f>IF(AJ70&lt;ExtCount,INT(Maturity+AJ70*ExtensionMonths),"")</f>
        <v/>
      </c>
    </row>
    <row r="71">
      <c r="A71">
        <f>A70+1</f>
        <v/>
      </c>
      <c r="B71" s="5">
        <f>MAX(0,MIN(A71+1,SaleClose)-MAX(A71,BuildStart))</f>
        <v/>
      </c>
      <c r="C71" s="5">
        <f>MAX(0,MIN(A71+1,SaleClose)-MAX(A71,0))</f>
        <v/>
      </c>
      <c r="D71" s="5">
        <f>MAX(0,MIN(A71+1,Completion)-MAX(A71,BuildStart))</f>
        <v/>
      </c>
      <c r="E71" s="5">
        <f>MAX(0,MIN(A71+1,SaleClose)-MAX(A71,Completion))</f>
        <v/>
      </c>
      <c r="F71" s="5">
        <f>MAX(0,MIN(A71+1,Contract)-MAX(A71,ListMonth))</f>
        <v/>
      </c>
      <c r="G71" s="6">
        <f>IF(AND(A71&gt;=BuildStart,A71&lt;BuildStart+BuildMonths),SIN(PI()*(A71-BuildStart+0.5)/BuildMonths),0)</f>
        <v/>
      </c>
      <c r="H71" s="3">
        <f>IF(AND(A71&gt;=BuildStart,A71&lt;BuildStart+BuildMonths-1),ROUND(HardActual*(G71/DrawWeightSum),2),IF(A71=BuildStart+BuildMonths-1,HardActual-SUM(H$65:H70),0))</f>
        <v/>
      </c>
      <c r="I71" s="3">
        <f>IF(A71=0,SoftActual,0)+H71</f>
        <v/>
      </c>
      <c r="J71" s="3">
        <f>O70</f>
        <v/>
      </c>
      <c r="K71" s="3">
        <f>P70</f>
        <v/>
      </c>
      <c r="L71" s="3">
        <f>MIN(I71,MAX(0,EquityReq-J71))</f>
        <v/>
      </c>
      <c r="M71" s="3">
        <f>MIN(I71-L71,Commitment-K71)</f>
        <v/>
      </c>
      <c r="N71" s="3">
        <f>L71+(I71-L71-M71)</f>
        <v/>
      </c>
      <c r="O71" s="3">
        <f>J71+I71</f>
        <v/>
      </c>
      <c r="P71" s="3">
        <f>K71+M71</f>
        <v/>
      </c>
      <c r="Q71" s="3">
        <f>W70</f>
        <v/>
      </c>
      <c r="R71" s="3">
        <f>IF(AND(A71=BuildStart,Commitment&gt;0),ConstrPoints,0)</f>
        <v/>
      </c>
      <c r="S71" s="3">
        <f>IF(M71&gt;0,DrawFee,0)</f>
        <v/>
      </c>
      <c r="T71" s="3">
        <f>ROUND(Q71*LoanRate/12*B71,2)</f>
        <v/>
      </c>
      <c r="U71" s="3">
        <f>IF(CapFlag=1,0,T71)</f>
        <v/>
      </c>
      <c r="V71" s="3">
        <f>IF(CapFlag=1,T71,0)</f>
        <v/>
      </c>
      <c r="W71" s="3">
        <f>Q71+M71+V71</f>
        <v/>
      </c>
      <c r="X71" s="3">
        <f>ROUND(LandLoan*LandRate/12*C71,2)</f>
        <v/>
      </c>
      <c r="Y71" s="3">
        <f>COUNTIF(colExtPeriod,A71)*ExtFee</f>
        <v/>
      </c>
      <c r="Z71" s="3">
        <f>ROUND(TaxRate/12*(LandPrice+O71)*C71,2)</f>
        <v/>
      </c>
      <c r="AA71" s="3">
        <f>ROUND(InsuranceRate/12*EstimateTotal*B71,2)</f>
        <v/>
      </c>
      <c r="AB71" s="3">
        <f>ROUND(UtilBuild*D71+UtilAfter*E71,2)</f>
        <v/>
      </c>
      <c r="AC71" s="3">
        <f>ROUND(StagingMonthly*F71,2)</f>
        <v/>
      </c>
      <c r="AD71" s="3">
        <f>ROUND(UpkeepMonthly*E71,2)</f>
        <v/>
      </c>
      <c r="AE71" s="3">
        <f>ROUND(HoaMonthly*C71,2)</f>
        <v/>
      </c>
      <c r="AF71" s="3">
        <f>IF(A71=0,LandPrice-LandLoan+LandClosing+LandPoints,0)</f>
        <v/>
      </c>
      <c r="AG71" s="3">
        <f>AF71+N71+R71+S71+U71+X71+Y71+Z71+AA71+AB71+AC71+AD71+AE71</f>
        <v/>
      </c>
      <c r="AH71" s="3">
        <f>AH70+AG71</f>
        <v/>
      </c>
      <c r="AJ71">
        <f>A71</f>
        <v/>
      </c>
      <c r="AK71">
        <f>IF(AJ71&lt;ExtCount,INT(Maturity+AJ71*ExtensionMonths),"")</f>
        <v/>
      </c>
    </row>
    <row r="72">
      <c r="A72">
        <f>A71+1</f>
        <v/>
      </c>
      <c r="B72" s="5">
        <f>MAX(0,MIN(A72+1,SaleClose)-MAX(A72,BuildStart))</f>
        <v/>
      </c>
      <c r="C72" s="5">
        <f>MAX(0,MIN(A72+1,SaleClose)-MAX(A72,0))</f>
        <v/>
      </c>
      <c r="D72" s="5">
        <f>MAX(0,MIN(A72+1,Completion)-MAX(A72,BuildStart))</f>
        <v/>
      </c>
      <c r="E72" s="5">
        <f>MAX(0,MIN(A72+1,SaleClose)-MAX(A72,Completion))</f>
        <v/>
      </c>
      <c r="F72" s="5">
        <f>MAX(0,MIN(A72+1,Contract)-MAX(A72,ListMonth))</f>
        <v/>
      </c>
      <c r="G72" s="6">
        <f>IF(AND(A72&gt;=BuildStart,A72&lt;BuildStart+BuildMonths),SIN(PI()*(A72-BuildStart+0.5)/BuildMonths),0)</f>
        <v/>
      </c>
      <c r="H72" s="3">
        <f>IF(AND(A72&gt;=BuildStart,A72&lt;BuildStart+BuildMonths-1),ROUND(HardActual*(G72/DrawWeightSum),2),IF(A72=BuildStart+BuildMonths-1,HardActual-SUM(H$65:H71),0))</f>
        <v/>
      </c>
      <c r="I72" s="3">
        <f>IF(A72=0,SoftActual,0)+H72</f>
        <v/>
      </c>
      <c r="J72" s="3">
        <f>O71</f>
        <v/>
      </c>
      <c r="K72" s="3">
        <f>P71</f>
        <v/>
      </c>
      <c r="L72" s="3">
        <f>MIN(I72,MAX(0,EquityReq-J72))</f>
        <v/>
      </c>
      <c r="M72" s="3">
        <f>MIN(I72-L72,Commitment-K72)</f>
        <v/>
      </c>
      <c r="N72" s="3">
        <f>L72+(I72-L72-M72)</f>
        <v/>
      </c>
      <c r="O72" s="3">
        <f>J72+I72</f>
        <v/>
      </c>
      <c r="P72" s="3">
        <f>K72+M72</f>
        <v/>
      </c>
      <c r="Q72" s="3">
        <f>W71</f>
        <v/>
      </c>
      <c r="R72" s="3">
        <f>IF(AND(A72=BuildStart,Commitment&gt;0),ConstrPoints,0)</f>
        <v/>
      </c>
      <c r="S72" s="3">
        <f>IF(M72&gt;0,DrawFee,0)</f>
        <v/>
      </c>
      <c r="T72" s="3">
        <f>ROUND(Q72*LoanRate/12*B72,2)</f>
        <v/>
      </c>
      <c r="U72" s="3">
        <f>IF(CapFlag=1,0,T72)</f>
        <v/>
      </c>
      <c r="V72" s="3">
        <f>IF(CapFlag=1,T72,0)</f>
        <v/>
      </c>
      <c r="W72" s="3">
        <f>Q72+M72+V72</f>
        <v/>
      </c>
      <c r="X72" s="3">
        <f>ROUND(LandLoan*LandRate/12*C72,2)</f>
        <v/>
      </c>
      <c r="Y72" s="3">
        <f>COUNTIF(colExtPeriod,A72)*ExtFee</f>
        <v/>
      </c>
      <c r="Z72" s="3">
        <f>ROUND(TaxRate/12*(LandPrice+O72)*C72,2)</f>
        <v/>
      </c>
      <c r="AA72" s="3">
        <f>ROUND(InsuranceRate/12*EstimateTotal*B72,2)</f>
        <v/>
      </c>
      <c r="AB72" s="3">
        <f>ROUND(UtilBuild*D72+UtilAfter*E72,2)</f>
        <v/>
      </c>
      <c r="AC72" s="3">
        <f>ROUND(StagingMonthly*F72,2)</f>
        <v/>
      </c>
      <c r="AD72" s="3">
        <f>ROUND(UpkeepMonthly*E72,2)</f>
        <v/>
      </c>
      <c r="AE72" s="3">
        <f>ROUND(HoaMonthly*C72,2)</f>
        <v/>
      </c>
      <c r="AF72" s="3">
        <f>IF(A72=0,LandPrice-LandLoan+LandClosing+LandPoints,0)</f>
        <v/>
      </c>
      <c r="AG72" s="3">
        <f>AF72+N72+R72+S72+U72+X72+Y72+Z72+AA72+AB72+AC72+AD72+AE72</f>
        <v/>
      </c>
      <c r="AH72" s="3">
        <f>AH71+AG72</f>
        <v/>
      </c>
      <c r="AJ72">
        <f>A72</f>
        <v/>
      </c>
      <c r="AK72">
        <f>IF(AJ72&lt;ExtCount,INT(Maturity+AJ72*ExtensionMonths),"")</f>
        <v/>
      </c>
    </row>
    <row r="73">
      <c r="A73">
        <f>A72+1</f>
        <v/>
      </c>
      <c r="B73" s="5">
        <f>MAX(0,MIN(A73+1,SaleClose)-MAX(A73,BuildStart))</f>
        <v/>
      </c>
      <c r="C73" s="5">
        <f>MAX(0,MIN(A73+1,SaleClose)-MAX(A73,0))</f>
        <v/>
      </c>
      <c r="D73" s="5">
        <f>MAX(0,MIN(A73+1,Completion)-MAX(A73,BuildStart))</f>
        <v/>
      </c>
      <c r="E73" s="5">
        <f>MAX(0,MIN(A73+1,SaleClose)-MAX(A73,Completion))</f>
        <v/>
      </c>
      <c r="F73" s="5">
        <f>MAX(0,MIN(A73+1,Contract)-MAX(A73,ListMonth))</f>
        <v/>
      </c>
      <c r="G73" s="6">
        <f>IF(AND(A73&gt;=BuildStart,A73&lt;BuildStart+BuildMonths),SIN(PI()*(A73-BuildStart+0.5)/BuildMonths),0)</f>
        <v/>
      </c>
      <c r="H73" s="3">
        <f>IF(AND(A73&gt;=BuildStart,A73&lt;BuildStart+BuildMonths-1),ROUND(HardActual*(G73/DrawWeightSum),2),IF(A73=BuildStart+BuildMonths-1,HardActual-SUM(H$65:H72),0))</f>
        <v/>
      </c>
      <c r="I73" s="3">
        <f>IF(A73=0,SoftActual,0)+H73</f>
        <v/>
      </c>
      <c r="J73" s="3">
        <f>O72</f>
        <v/>
      </c>
      <c r="K73" s="3">
        <f>P72</f>
        <v/>
      </c>
      <c r="L73" s="3">
        <f>MIN(I73,MAX(0,EquityReq-J73))</f>
        <v/>
      </c>
      <c r="M73" s="3">
        <f>MIN(I73-L73,Commitment-K73)</f>
        <v/>
      </c>
      <c r="N73" s="3">
        <f>L73+(I73-L73-M73)</f>
        <v/>
      </c>
      <c r="O73" s="3">
        <f>J73+I73</f>
        <v/>
      </c>
      <c r="P73" s="3">
        <f>K73+M73</f>
        <v/>
      </c>
      <c r="Q73" s="3">
        <f>W72</f>
        <v/>
      </c>
      <c r="R73" s="3">
        <f>IF(AND(A73=BuildStart,Commitment&gt;0),ConstrPoints,0)</f>
        <v/>
      </c>
      <c r="S73" s="3">
        <f>IF(M73&gt;0,DrawFee,0)</f>
        <v/>
      </c>
      <c r="T73" s="3">
        <f>ROUND(Q73*LoanRate/12*B73,2)</f>
        <v/>
      </c>
      <c r="U73" s="3">
        <f>IF(CapFlag=1,0,T73)</f>
        <v/>
      </c>
      <c r="V73" s="3">
        <f>IF(CapFlag=1,T73,0)</f>
        <v/>
      </c>
      <c r="W73" s="3">
        <f>Q73+M73+V73</f>
        <v/>
      </c>
      <c r="X73" s="3">
        <f>ROUND(LandLoan*LandRate/12*C73,2)</f>
        <v/>
      </c>
      <c r="Y73" s="3">
        <f>COUNTIF(colExtPeriod,A73)*ExtFee</f>
        <v/>
      </c>
      <c r="Z73" s="3">
        <f>ROUND(TaxRate/12*(LandPrice+O73)*C73,2)</f>
        <v/>
      </c>
      <c r="AA73" s="3">
        <f>ROUND(InsuranceRate/12*EstimateTotal*B73,2)</f>
        <v/>
      </c>
      <c r="AB73" s="3">
        <f>ROUND(UtilBuild*D73+UtilAfter*E73,2)</f>
        <v/>
      </c>
      <c r="AC73" s="3">
        <f>ROUND(StagingMonthly*F73,2)</f>
        <v/>
      </c>
      <c r="AD73" s="3">
        <f>ROUND(UpkeepMonthly*E73,2)</f>
        <v/>
      </c>
      <c r="AE73" s="3">
        <f>ROUND(HoaMonthly*C73,2)</f>
        <v/>
      </c>
      <c r="AF73" s="3">
        <f>IF(A73=0,LandPrice-LandLoan+LandClosing+LandPoints,0)</f>
        <v/>
      </c>
      <c r="AG73" s="3">
        <f>AF73+N73+R73+S73+U73+X73+Y73+Z73+AA73+AB73+AC73+AD73+AE73</f>
        <v/>
      </c>
      <c r="AH73" s="3">
        <f>AH72+AG73</f>
        <v/>
      </c>
      <c r="AJ73">
        <f>A73</f>
        <v/>
      </c>
      <c r="AK73">
        <f>IF(AJ73&lt;ExtCount,INT(Maturity+AJ73*ExtensionMonths),"")</f>
        <v/>
      </c>
    </row>
    <row r="74">
      <c r="A74">
        <f>A73+1</f>
        <v/>
      </c>
      <c r="B74" s="5">
        <f>MAX(0,MIN(A74+1,SaleClose)-MAX(A74,BuildStart))</f>
        <v/>
      </c>
      <c r="C74" s="5">
        <f>MAX(0,MIN(A74+1,SaleClose)-MAX(A74,0))</f>
        <v/>
      </c>
      <c r="D74" s="5">
        <f>MAX(0,MIN(A74+1,Completion)-MAX(A74,BuildStart))</f>
        <v/>
      </c>
      <c r="E74" s="5">
        <f>MAX(0,MIN(A74+1,SaleClose)-MAX(A74,Completion))</f>
        <v/>
      </c>
      <c r="F74" s="5">
        <f>MAX(0,MIN(A74+1,Contract)-MAX(A74,ListMonth))</f>
        <v/>
      </c>
      <c r="G74" s="6">
        <f>IF(AND(A74&gt;=BuildStart,A74&lt;BuildStart+BuildMonths),SIN(PI()*(A74-BuildStart+0.5)/BuildMonths),0)</f>
        <v/>
      </c>
      <c r="H74" s="3">
        <f>IF(AND(A74&gt;=BuildStart,A74&lt;BuildStart+BuildMonths-1),ROUND(HardActual*(G74/DrawWeightSum),2),IF(A74=BuildStart+BuildMonths-1,HardActual-SUM(H$65:H73),0))</f>
        <v/>
      </c>
      <c r="I74" s="3">
        <f>IF(A74=0,SoftActual,0)+H74</f>
        <v/>
      </c>
      <c r="J74" s="3">
        <f>O73</f>
        <v/>
      </c>
      <c r="K74" s="3">
        <f>P73</f>
        <v/>
      </c>
      <c r="L74" s="3">
        <f>MIN(I74,MAX(0,EquityReq-J74))</f>
        <v/>
      </c>
      <c r="M74" s="3">
        <f>MIN(I74-L74,Commitment-K74)</f>
        <v/>
      </c>
      <c r="N74" s="3">
        <f>L74+(I74-L74-M74)</f>
        <v/>
      </c>
      <c r="O74" s="3">
        <f>J74+I74</f>
        <v/>
      </c>
      <c r="P74" s="3">
        <f>K74+M74</f>
        <v/>
      </c>
      <c r="Q74" s="3">
        <f>W73</f>
        <v/>
      </c>
      <c r="R74" s="3">
        <f>IF(AND(A74=BuildStart,Commitment&gt;0),ConstrPoints,0)</f>
        <v/>
      </c>
      <c r="S74" s="3">
        <f>IF(M74&gt;0,DrawFee,0)</f>
        <v/>
      </c>
      <c r="T74" s="3">
        <f>ROUND(Q74*LoanRate/12*B74,2)</f>
        <v/>
      </c>
      <c r="U74" s="3">
        <f>IF(CapFlag=1,0,T74)</f>
        <v/>
      </c>
      <c r="V74" s="3">
        <f>IF(CapFlag=1,T74,0)</f>
        <v/>
      </c>
      <c r="W74" s="3">
        <f>Q74+M74+V74</f>
        <v/>
      </c>
      <c r="X74" s="3">
        <f>ROUND(LandLoan*LandRate/12*C74,2)</f>
        <v/>
      </c>
      <c r="Y74" s="3">
        <f>COUNTIF(colExtPeriod,A74)*ExtFee</f>
        <v/>
      </c>
      <c r="Z74" s="3">
        <f>ROUND(TaxRate/12*(LandPrice+O74)*C74,2)</f>
        <v/>
      </c>
      <c r="AA74" s="3">
        <f>ROUND(InsuranceRate/12*EstimateTotal*B74,2)</f>
        <v/>
      </c>
      <c r="AB74" s="3">
        <f>ROUND(UtilBuild*D74+UtilAfter*E74,2)</f>
        <v/>
      </c>
      <c r="AC74" s="3">
        <f>ROUND(StagingMonthly*F74,2)</f>
        <v/>
      </c>
      <c r="AD74" s="3">
        <f>ROUND(UpkeepMonthly*E74,2)</f>
        <v/>
      </c>
      <c r="AE74" s="3">
        <f>ROUND(HoaMonthly*C74,2)</f>
        <v/>
      </c>
      <c r="AF74" s="3">
        <f>IF(A74=0,LandPrice-LandLoan+LandClosing+LandPoints,0)</f>
        <v/>
      </c>
      <c r="AG74" s="3">
        <f>AF74+N74+R74+S74+U74+X74+Y74+Z74+AA74+AB74+AC74+AD74+AE74</f>
        <v/>
      </c>
      <c r="AH74" s="3">
        <f>AH73+AG74</f>
        <v/>
      </c>
      <c r="AJ74">
        <f>A74</f>
        <v/>
      </c>
      <c r="AK74">
        <f>IF(AJ74&lt;ExtCount,INT(Maturity+AJ74*ExtensionMonths),"")</f>
        <v/>
      </c>
    </row>
    <row r="75">
      <c r="A75">
        <f>A74+1</f>
        <v/>
      </c>
      <c r="B75" s="5">
        <f>MAX(0,MIN(A75+1,SaleClose)-MAX(A75,BuildStart))</f>
        <v/>
      </c>
      <c r="C75" s="5">
        <f>MAX(0,MIN(A75+1,SaleClose)-MAX(A75,0))</f>
        <v/>
      </c>
      <c r="D75" s="5">
        <f>MAX(0,MIN(A75+1,Completion)-MAX(A75,BuildStart))</f>
        <v/>
      </c>
      <c r="E75" s="5">
        <f>MAX(0,MIN(A75+1,SaleClose)-MAX(A75,Completion))</f>
        <v/>
      </c>
      <c r="F75" s="5">
        <f>MAX(0,MIN(A75+1,Contract)-MAX(A75,ListMonth))</f>
        <v/>
      </c>
      <c r="G75" s="6">
        <f>IF(AND(A75&gt;=BuildStart,A75&lt;BuildStart+BuildMonths),SIN(PI()*(A75-BuildStart+0.5)/BuildMonths),0)</f>
        <v/>
      </c>
      <c r="H75" s="3">
        <f>IF(AND(A75&gt;=BuildStart,A75&lt;BuildStart+BuildMonths-1),ROUND(HardActual*(G75/DrawWeightSum),2),IF(A75=BuildStart+BuildMonths-1,HardActual-SUM(H$65:H74),0))</f>
        <v/>
      </c>
      <c r="I75" s="3">
        <f>IF(A75=0,SoftActual,0)+H75</f>
        <v/>
      </c>
      <c r="J75" s="3">
        <f>O74</f>
        <v/>
      </c>
      <c r="K75" s="3">
        <f>P74</f>
        <v/>
      </c>
      <c r="L75" s="3">
        <f>MIN(I75,MAX(0,EquityReq-J75))</f>
        <v/>
      </c>
      <c r="M75" s="3">
        <f>MIN(I75-L75,Commitment-K75)</f>
        <v/>
      </c>
      <c r="N75" s="3">
        <f>L75+(I75-L75-M75)</f>
        <v/>
      </c>
      <c r="O75" s="3">
        <f>J75+I75</f>
        <v/>
      </c>
      <c r="P75" s="3">
        <f>K75+M75</f>
        <v/>
      </c>
      <c r="Q75" s="3">
        <f>W74</f>
        <v/>
      </c>
      <c r="R75" s="3">
        <f>IF(AND(A75=BuildStart,Commitment&gt;0),ConstrPoints,0)</f>
        <v/>
      </c>
      <c r="S75" s="3">
        <f>IF(M75&gt;0,DrawFee,0)</f>
        <v/>
      </c>
      <c r="T75" s="3">
        <f>ROUND(Q75*LoanRate/12*B75,2)</f>
        <v/>
      </c>
      <c r="U75" s="3">
        <f>IF(CapFlag=1,0,T75)</f>
        <v/>
      </c>
      <c r="V75" s="3">
        <f>IF(CapFlag=1,T75,0)</f>
        <v/>
      </c>
      <c r="W75" s="3">
        <f>Q75+M75+V75</f>
        <v/>
      </c>
      <c r="X75" s="3">
        <f>ROUND(LandLoan*LandRate/12*C75,2)</f>
        <v/>
      </c>
      <c r="Y75" s="3">
        <f>COUNTIF(colExtPeriod,A75)*ExtFee</f>
        <v/>
      </c>
      <c r="Z75" s="3">
        <f>ROUND(TaxRate/12*(LandPrice+O75)*C75,2)</f>
        <v/>
      </c>
      <c r="AA75" s="3">
        <f>ROUND(InsuranceRate/12*EstimateTotal*B75,2)</f>
        <v/>
      </c>
      <c r="AB75" s="3">
        <f>ROUND(UtilBuild*D75+UtilAfter*E75,2)</f>
        <v/>
      </c>
      <c r="AC75" s="3">
        <f>ROUND(StagingMonthly*F75,2)</f>
        <v/>
      </c>
      <c r="AD75" s="3">
        <f>ROUND(UpkeepMonthly*E75,2)</f>
        <v/>
      </c>
      <c r="AE75" s="3">
        <f>ROUND(HoaMonthly*C75,2)</f>
        <v/>
      </c>
      <c r="AF75" s="3">
        <f>IF(A75=0,LandPrice-LandLoan+LandClosing+LandPoints,0)</f>
        <v/>
      </c>
      <c r="AG75" s="3">
        <f>AF75+N75+R75+S75+U75+X75+Y75+Z75+AA75+AB75+AC75+AD75+AE75</f>
        <v/>
      </c>
      <c r="AH75" s="3">
        <f>AH74+AG75</f>
        <v/>
      </c>
      <c r="AJ75">
        <f>A75</f>
        <v/>
      </c>
      <c r="AK75">
        <f>IF(AJ75&lt;ExtCount,INT(Maturity+AJ75*ExtensionMonths),"")</f>
        <v/>
      </c>
    </row>
    <row r="76">
      <c r="A76">
        <f>A75+1</f>
        <v/>
      </c>
      <c r="B76" s="5">
        <f>MAX(0,MIN(A76+1,SaleClose)-MAX(A76,BuildStart))</f>
        <v/>
      </c>
      <c r="C76" s="5">
        <f>MAX(0,MIN(A76+1,SaleClose)-MAX(A76,0))</f>
        <v/>
      </c>
      <c r="D76" s="5">
        <f>MAX(0,MIN(A76+1,Completion)-MAX(A76,BuildStart))</f>
        <v/>
      </c>
      <c r="E76" s="5">
        <f>MAX(0,MIN(A76+1,SaleClose)-MAX(A76,Completion))</f>
        <v/>
      </c>
      <c r="F76" s="5">
        <f>MAX(0,MIN(A76+1,Contract)-MAX(A76,ListMonth))</f>
        <v/>
      </c>
      <c r="G76" s="6">
        <f>IF(AND(A76&gt;=BuildStart,A76&lt;BuildStart+BuildMonths),SIN(PI()*(A76-BuildStart+0.5)/BuildMonths),0)</f>
        <v/>
      </c>
      <c r="H76" s="3">
        <f>IF(AND(A76&gt;=BuildStart,A76&lt;BuildStart+BuildMonths-1),ROUND(HardActual*(G76/DrawWeightSum),2),IF(A76=BuildStart+BuildMonths-1,HardActual-SUM(H$65:H75),0))</f>
        <v/>
      </c>
      <c r="I76" s="3">
        <f>IF(A76=0,SoftActual,0)+H76</f>
        <v/>
      </c>
      <c r="J76" s="3">
        <f>O75</f>
        <v/>
      </c>
      <c r="K76" s="3">
        <f>P75</f>
        <v/>
      </c>
      <c r="L76" s="3">
        <f>MIN(I76,MAX(0,EquityReq-J76))</f>
        <v/>
      </c>
      <c r="M76" s="3">
        <f>MIN(I76-L76,Commitment-K76)</f>
        <v/>
      </c>
      <c r="N76" s="3">
        <f>L76+(I76-L76-M76)</f>
        <v/>
      </c>
      <c r="O76" s="3">
        <f>J76+I76</f>
        <v/>
      </c>
      <c r="P76" s="3">
        <f>K76+M76</f>
        <v/>
      </c>
      <c r="Q76" s="3">
        <f>W75</f>
        <v/>
      </c>
      <c r="R76" s="3">
        <f>IF(AND(A76=BuildStart,Commitment&gt;0),ConstrPoints,0)</f>
        <v/>
      </c>
      <c r="S76" s="3">
        <f>IF(M76&gt;0,DrawFee,0)</f>
        <v/>
      </c>
      <c r="T76" s="3">
        <f>ROUND(Q76*LoanRate/12*B76,2)</f>
        <v/>
      </c>
      <c r="U76" s="3">
        <f>IF(CapFlag=1,0,T76)</f>
        <v/>
      </c>
      <c r="V76" s="3">
        <f>IF(CapFlag=1,T76,0)</f>
        <v/>
      </c>
      <c r="W76" s="3">
        <f>Q76+M76+V76</f>
        <v/>
      </c>
      <c r="X76" s="3">
        <f>ROUND(LandLoan*LandRate/12*C76,2)</f>
        <v/>
      </c>
      <c r="Y76" s="3">
        <f>COUNTIF(colExtPeriod,A76)*ExtFee</f>
        <v/>
      </c>
      <c r="Z76" s="3">
        <f>ROUND(TaxRate/12*(LandPrice+O76)*C76,2)</f>
        <v/>
      </c>
      <c r="AA76" s="3">
        <f>ROUND(InsuranceRate/12*EstimateTotal*B76,2)</f>
        <v/>
      </c>
      <c r="AB76" s="3">
        <f>ROUND(UtilBuild*D76+UtilAfter*E76,2)</f>
        <v/>
      </c>
      <c r="AC76" s="3">
        <f>ROUND(StagingMonthly*F76,2)</f>
        <v/>
      </c>
      <c r="AD76" s="3">
        <f>ROUND(UpkeepMonthly*E76,2)</f>
        <v/>
      </c>
      <c r="AE76" s="3">
        <f>ROUND(HoaMonthly*C76,2)</f>
        <v/>
      </c>
      <c r="AF76" s="3">
        <f>IF(A76=0,LandPrice-LandLoan+LandClosing+LandPoints,0)</f>
        <v/>
      </c>
      <c r="AG76" s="3">
        <f>AF76+N76+R76+S76+U76+X76+Y76+Z76+AA76+AB76+AC76+AD76+AE76</f>
        <v/>
      </c>
      <c r="AH76" s="3">
        <f>AH75+AG76</f>
        <v/>
      </c>
      <c r="AJ76">
        <f>A76</f>
        <v/>
      </c>
      <c r="AK76">
        <f>IF(AJ76&lt;ExtCount,INT(Maturity+AJ76*ExtensionMonths),"")</f>
        <v/>
      </c>
    </row>
    <row r="77">
      <c r="A77">
        <f>A76+1</f>
        <v/>
      </c>
      <c r="B77" s="5">
        <f>MAX(0,MIN(A77+1,SaleClose)-MAX(A77,BuildStart))</f>
        <v/>
      </c>
      <c r="C77" s="5">
        <f>MAX(0,MIN(A77+1,SaleClose)-MAX(A77,0))</f>
        <v/>
      </c>
      <c r="D77" s="5">
        <f>MAX(0,MIN(A77+1,Completion)-MAX(A77,BuildStart))</f>
        <v/>
      </c>
      <c r="E77" s="5">
        <f>MAX(0,MIN(A77+1,SaleClose)-MAX(A77,Completion))</f>
        <v/>
      </c>
      <c r="F77" s="5">
        <f>MAX(0,MIN(A77+1,Contract)-MAX(A77,ListMonth))</f>
        <v/>
      </c>
      <c r="G77" s="6">
        <f>IF(AND(A77&gt;=BuildStart,A77&lt;BuildStart+BuildMonths),SIN(PI()*(A77-BuildStart+0.5)/BuildMonths),0)</f>
        <v/>
      </c>
      <c r="H77" s="3">
        <f>IF(AND(A77&gt;=BuildStart,A77&lt;BuildStart+BuildMonths-1),ROUND(HardActual*(G77/DrawWeightSum),2),IF(A77=BuildStart+BuildMonths-1,HardActual-SUM(H$65:H76),0))</f>
        <v/>
      </c>
      <c r="I77" s="3">
        <f>IF(A77=0,SoftActual,0)+H77</f>
        <v/>
      </c>
      <c r="J77" s="3">
        <f>O76</f>
        <v/>
      </c>
      <c r="K77" s="3">
        <f>P76</f>
        <v/>
      </c>
      <c r="L77" s="3">
        <f>MIN(I77,MAX(0,EquityReq-J77))</f>
        <v/>
      </c>
      <c r="M77" s="3">
        <f>MIN(I77-L77,Commitment-K77)</f>
        <v/>
      </c>
      <c r="N77" s="3">
        <f>L77+(I77-L77-M77)</f>
        <v/>
      </c>
      <c r="O77" s="3">
        <f>J77+I77</f>
        <v/>
      </c>
      <c r="P77" s="3">
        <f>K77+M77</f>
        <v/>
      </c>
      <c r="Q77" s="3">
        <f>W76</f>
        <v/>
      </c>
      <c r="R77" s="3">
        <f>IF(AND(A77=BuildStart,Commitment&gt;0),ConstrPoints,0)</f>
        <v/>
      </c>
      <c r="S77" s="3">
        <f>IF(M77&gt;0,DrawFee,0)</f>
        <v/>
      </c>
      <c r="T77" s="3">
        <f>ROUND(Q77*LoanRate/12*B77,2)</f>
        <v/>
      </c>
      <c r="U77" s="3">
        <f>IF(CapFlag=1,0,T77)</f>
        <v/>
      </c>
      <c r="V77" s="3">
        <f>IF(CapFlag=1,T77,0)</f>
        <v/>
      </c>
      <c r="W77" s="3">
        <f>Q77+M77+V77</f>
        <v/>
      </c>
      <c r="X77" s="3">
        <f>ROUND(LandLoan*LandRate/12*C77,2)</f>
        <v/>
      </c>
      <c r="Y77" s="3">
        <f>COUNTIF(colExtPeriod,A77)*ExtFee</f>
        <v/>
      </c>
      <c r="Z77" s="3">
        <f>ROUND(TaxRate/12*(LandPrice+O77)*C77,2)</f>
        <v/>
      </c>
      <c r="AA77" s="3">
        <f>ROUND(InsuranceRate/12*EstimateTotal*B77,2)</f>
        <v/>
      </c>
      <c r="AB77" s="3">
        <f>ROUND(UtilBuild*D77+UtilAfter*E77,2)</f>
        <v/>
      </c>
      <c r="AC77" s="3">
        <f>ROUND(StagingMonthly*F77,2)</f>
        <v/>
      </c>
      <c r="AD77" s="3">
        <f>ROUND(UpkeepMonthly*E77,2)</f>
        <v/>
      </c>
      <c r="AE77" s="3">
        <f>ROUND(HoaMonthly*C77,2)</f>
        <v/>
      </c>
      <c r="AF77" s="3">
        <f>IF(A77=0,LandPrice-LandLoan+LandClosing+LandPoints,0)</f>
        <v/>
      </c>
      <c r="AG77" s="3">
        <f>AF77+N77+R77+S77+U77+X77+Y77+Z77+AA77+AB77+AC77+AD77+AE77</f>
        <v/>
      </c>
      <c r="AH77" s="3">
        <f>AH76+AG77</f>
        <v/>
      </c>
      <c r="AJ77">
        <f>A77</f>
        <v/>
      </c>
      <c r="AK77">
        <f>IF(AJ77&lt;ExtCount,INT(Maturity+AJ77*ExtensionMonths),"")</f>
        <v/>
      </c>
    </row>
    <row r="78">
      <c r="A78">
        <f>A77+1</f>
        <v/>
      </c>
      <c r="B78" s="5">
        <f>MAX(0,MIN(A78+1,SaleClose)-MAX(A78,BuildStart))</f>
        <v/>
      </c>
      <c r="C78" s="5">
        <f>MAX(0,MIN(A78+1,SaleClose)-MAX(A78,0))</f>
        <v/>
      </c>
      <c r="D78" s="5">
        <f>MAX(0,MIN(A78+1,Completion)-MAX(A78,BuildStart))</f>
        <v/>
      </c>
      <c r="E78" s="5">
        <f>MAX(0,MIN(A78+1,SaleClose)-MAX(A78,Completion))</f>
        <v/>
      </c>
      <c r="F78" s="5">
        <f>MAX(0,MIN(A78+1,Contract)-MAX(A78,ListMonth))</f>
        <v/>
      </c>
      <c r="G78" s="6">
        <f>IF(AND(A78&gt;=BuildStart,A78&lt;BuildStart+BuildMonths),SIN(PI()*(A78-BuildStart+0.5)/BuildMonths),0)</f>
        <v/>
      </c>
      <c r="H78" s="3">
        <f>IF(AND(A78&gt;=BuildStart,A78&lt;BuildStart+BuildMonths-1),ROUND(HardActual*(G78/DrawWeightSum),2),IF(A78=BuildStart+BuildMonths-1,HardActual-SUM(H$65:H77),0))</f>
        <v/>
      </c>
      <c r="I78" s="3">
        <f>IF(A78=0,SoftActual,0)+H78</f>
        <v/>
      </c>
      <c r="J78" s="3">
        <f>O77</f>
        <v/>
      </c>
      <c r="K78" s="3">
        <f>P77</f>
        <v/>
      </c>
      <c r="L78" s="3">
        <f>MIN(I78,MAX(0,EquityReq-J78))</f>
        <v/>
      </c>
      <c r="M78" s="3">
        <f>MIN(I78-L78,Commitment-K78)</f>
        <v/>
      </c>
      <c r="N78" s="3">
        <f>L78+(I78-L78-M78)</f>
        <v/>
      </c>
      <c r="O78" s="3">
        <f>J78+I78</f>
        <v/>
      </c>
      <c r="P78" s="3">
        <f>K78+M78</f>
        <v/>
      </c>
      <c r="Q78" s="3">
        <f>W77</f>
        <v/>
      </c>
      <c r="R78" s="3">
        <f>IF(AND(A78=BuildStart,Commitment&gt;0),ConstrPoints,0)</f>
        <v/>
      </c>
      <c r="S78" s="3">
        <f>IF(M78&gt;0,DrawFee,0)</f>
        <v/>
      </c>
      <c r="T78" s="3">
        <f>ROUND(Q78*LoanRate/12*B78,2)</f>
        <v/>
      </c>
      <c r="U78" s="3">
        <f>IF(CapFlag=1,0,T78)</f>
        <v/>
      </c>
      <c r="V78" s="3">
        <f>IF(CapFlag=1,T78,0)</f>
        <v/>
      </c>
      <c r="W78" s="3">
        <f>Q78+M78+V78</f>
        <v/>
      </c>
      <c r="X78" s="3">
        <f>ROUND(LandLoan*LandRate/12*C78,2)</f>
        <v/>
      </c>
      <c r="Y78" s="3">
        <f>COUNTIF(colExtPeriod,A78)*ExtFee</f>
        <v/>
      </c>
      <c r="Z78" s="3">
        <f>ROUND(TaxRate/12*(LandPrice+O78)*C78,2)</f>
        <v/>
      </c>
      <c r="AA78" s="3">
        <f>ROUND(InsuranceRate/12*EstimateTotal*B78,2)</f>
        <v/>
      </c>
      <c r="AB78" s="3">
        <f>ROUND(UtilBuild*D78+UtilAfter*E78,2)</f>
        <v/>
      </c>
      <c r="AC78" s="3">
        <f>ROUND(StagingMonthly*F78,2)</f>
        <v/>
      </c>
      <c r="AD78" s="3">
        <f>ROUND(UpkeepMonthly*E78,2)</f>
        <v/>
      </c>
      <c r="AE78" s="3">
        <f>ROUND(HoaMonthly*C78,2)</f>
        <v/>
      </c>
      <c r="AF78" s="3">
        <f>IF(A78=0,LandPrice-LandLoan+LandClosing+LandPoints,0)</f>
        <v/>
      </c>
      <c r="AG78" s="3">
        <f>AF78+N78+R78+S78+U78+X78+Y78+Z78+AA78+AB78+AC78+AD78+AE78</f>
        <v/>
      </c>
      <c r="AH78" s="3">
        <f>AH77+AG78</f>
        <v/>
      </c>
      <c r="AJ78">
        <f>A78</f>
        <v/>
      </c>
      <c r="AK78">
        <f>IF(AJ78&lt;ExtCount,INT(Maturity+AJ78*ExtensionMonths),"")</f>
        <v/>
      </c>
    </row>
    <row r="79">
      <c r="A79">
        <f>A78+1</f>
        <v/>
      </c>
      <c r="B79" s="5">
        <f>MAX(0,MIN(A79+1,SaleClose)-MAX(A79,BuildStart))</f>
        <v/>
      </c>
      <c r="C79" s="5">
        <f>MAX(0,MIN(A79+1,SaleClose)-MAX(A79,0))</f>
        <v/>
      </c>
      <c r="D79" s="5">
        <f>MAX(0,MIN(A79+1,Completion)-MAX(A79,BuildStart))</f>
        <v/>
      </c>
      <c r="E79" s="5">
        <f>MAX(0,MIN(A79+1,SaleClose)-MAX(A79,Completion))</f>
        <v/>
      </c>
      <c r="F79" s="5">
        <f>MAX(0,MIN(A79+1,Contract)-MAX(A79,ListMonth))</f>
        <v/>
      </c>
      <c r="G79" s="6">
        <f>IF(AND(A79&gt;=BuildStart,A79&lt;BuildStart+BuildMonths),SIN(PI()*(A79-BuildStart+0.5)/BuildMonths),0)</f>
        <v/>
      </c>
      <c r="H79" s="3">
        <f>IF(AND(A79&gt;=BuildStart,A79&lt;BuildStart+BuildMonths-1),ROUND(HardActual*(G79/DrawWeightSum),2),IF(A79=BuildStart+BuildMonths-1,HardActual-SUM(H$65:H78),0))</f>
        <v/>
      </c>
      <c r="I79" s="3">
        <f>IF(A79=0,SoftActual,0)+H79</f>
        <v/>
      </c>
      <c r="J79" s="3">
        <f>O78</f>
        <v/>
      </c>
      <c r="K79" s="3">
        <f>P78</f>
        <v/>
      </c>
      <c r="L79" s="3">
        <f>MIN(I79,MAX(0,EquityReq-J79))</f>
        <v/>
      </c>
      <c r="M79" s="3">
        <f>MIN(I79-L79,Commitment-K79)</f>
        <v/>
      </c>
      <c r="N79" s="3">
        <f>L79+(I79-L79-M79)</f>
        <v/>
      </c>
      <c r="O79" s="3">
        <f>J79+I79</f>
        <v/>
      </c>
      <c r="P79" s="3">
        <f>K79+M79</f>
        <v/>
      </c>
      <c r="Q79" s="3">
        <f>W78</f>
        <v/>
      </c>
      <c r="R79" s="3">
        <f>IF(AND(A79=BuildStart,Commitment&gt;0),ConstrPoints,0)</f>
        <v/>
      </c>
      <c r="S79" s="3">
        <f>IF(M79&gt;0,DrawFee,0)</f>
        <v/>
      </c>
      <c r="T79" s="3">
        <f>ROUND(Q79*LoanRate/12*B79,2)</f>
        <v/>
      </c>
      <c r="U79" s="3">
        <f>IF(CapFlag=1,0,T79)</f>
        <v/>
      </c>
      <c r="V79" s="3">
        <f>IF(CapFlag=1,T79,0)</f>
        <v/>
      </c>
      <c r="W79" s="3">
        <f>Q79+M79+V79</f>
        <v/>
      </c>
      <c r="X79" s="3">
        <f>ROUND(LandLoan*LandRate/12*C79,2)</f>
        <v/>
      </c>
      <c r="Y79" s="3">
        <f>COUNTIF(colExtPeriod,A79)*ExtFee</f>
        <v/>
      </c>
      <c r="Z79" s="3">
        <f>ROUND(TaxRate/12*(LandPrice+O79)*C79,2)</f>
        <v/>
      </c>
      <c r="AA79" s="3">
        <f>ROUND(InsuranceRate/12*EstimateTotal*B79,2)</f>
        <v/>
      </c>
      <c r="AB79" s="3">
        <f>ROUND(UtilBuild*D79+UtilAfter*E79,2)</f>
        <v/>
      </c>
      <c r="AC79" s="3">
        <f>ROUND(StagingMonthly*F79,2)</f>
        <v/>
      </c>
      <c r="AD79" s="3">
        <f>ROUND(UpkeepMonthly*E79,2)</f>
        <v/>
      </c>
      <c r="AE79" s="3">
        <f>ROUND(HoaMonthly*C79,2)</f>
        <v/>
      </c>
      <c r="AF79" s="3">
        <f>IF(A79=0,LandPrice-LandLoan+LandClosing+LandPoints,0)</f>
        <v/>
      </c>
      <c r="AG79" s="3">
        <f>AF79+N79+R79+S79+U79+X79+Y79+Z79+AA79+AB79+AC79+AD79+AE79</f>
        <v/>
      </c>
      <c r="AH79" s="3">
        <f>AH78+AG79</f>
        <v/>
      </c>
      <c r="AJ79">
        <f>A79</f>
        <v/>
      </c>
      <c r="AK79">
        <f>IF(AJ79&lt;ExtCount,INT(Maturity+AJ79*ExtensionMonths),"")</f>
        <v/>
      </c>
    </row>
    <row r="80">
      <c r="A80">
        <f>A79+1</f>
        <v/>
      </c>
      <c r="B80" s="5">
        <f>MAX(0,MIN(A80+1,SaleClose)-MAX(A80,BuildStart))</f>
        <v/>
      </c>
      <c r="C80" s="5">
        <f>MAX(0,MIN(A80+1,SaleClose)-MAX(A80,0))</f>
        <v/>
      </c>
      <c r="D80" s="5">
        <f>MAX(0,MIN(A80+1,Completion)-MAX(A80,BuildStart))</f>
        <v/>
      </c>
      <c r="E80" s="5">
        <f>MAX(0,MIN(A80+1,SaleClose)-MAX(A80,Completion))</f>
        <v/>
      </c>
      <c r="F80" s="5">
        <f>MAX(0,MIN(A80+1,Contract)-MAX(A80,ListMonth))</f>
        <v/>
      </c>
      <c r="G80" s="6">
        <f>IF(AND(A80&gt;=BuildStart,A80&lt;BuildStart+BuildMonths),SIN(PI()*(A80-BuildStart+0.5)/BuildMonths),0)</f>
        <v/>
      </c>
      <c r="H80" s="3">
        <f>IF(AND(A80&gt;=BuildStart,A80&lt;BuildStart+BuildMonths-1),ROUND(HardActual*(G80/DrawWeightSum),2),IF(A80=BuildStart+BuildMonths-1,HardActual-SUM(H$65:H79),0))</f>
        <v/>
      </c>
      <c r="I80" s="3">
        <f>IF(A80=0,SoftActual,0)+H80</f>
        <v/>
      </c>
      <c r="J80" s="3">
        <f>O79</f>
        <v/>
      </c>
      <c r="K80" s="3">
        <f>P79</f>
        <v/>
      </c>
      <c r="L80" s="3">
        <f>MIN(I80,MAX(0,EquityReq-J80))</f>
        <v/>
      </c>
      <c r="M80" s="3">
        <f>MIN(I80-L80,Commitment-K80)</f>
        <v/>
      </c>
      <c r="N80" s="3">
        <f>L80+(I80-L80-M80)</f>
        <v/>
      </c>
      <c r="O80" s="3">
        <f>J80+I80</f>
        <v/>
      </c>
      <c r="P80" s="3">
        <f>K80+M80</f>
        <v/>
      </c>
      <c r="Q80" s="3">
        <f>W79</f>
        <v/>
      </c>
      <c r="R80" s="3">
        <f>IF(AND(A80=BuildStart,Commitment&gt;0),ConstrPoints,0)</f>
        <v/>
      </c>
      <c r="S80" s="3">
        <f>IF(M80&gt;0,DrawFee,0)</f>
        <v/>
      </c>
      <c r="T80" s="3">
        <f>ROUND(Q80*LoanRate/12*B80,2)</f>
        <v/>
      </c>
      <c r="U80" s="3">
        <f>IF(CapFlag=1,0,T80)</f>
        <v/>
      </c>
      <c r="V80" s="3">
        <f>IF(CapFlag=1,T80,0)</f>
        <v/>
      </c>
      <c r="W80" s="3">
        <f>Q80+M80+V80</f>
        <v/>
      </c>
      <c r="X80" s="3">
        <f>ROUND(LandLoan*LandRate/12*C80,2)</f>
        <v/>
      </c>
      <c r="Y80" s="3">
        <f>COUNTIF(colExtPeriod,A80)*ExtFee</f>
        <v/>
      </c>
      <c r="Z80" s="3">
        <f>ROUND(TaxRate/12*(LandPrice+O80)*C80,2)</f>
        <v/>
      </c>
      <c r="AA80" s="3">
        <f>ROUND(InsuranceRate/12*EstimateTotal*B80,2)</f>
        <v/>
      </c>
      <c r="AB80" s="3">
        <f>ROUND(UtilBuild*D80+UtilAfter*E80,2)</f>
        <v/>
      </c>
      <c r="AC80" s="3">
        <f>ROUND(StagingMonthly*F80,2)</f>
        <v/>
      </c>
      <c r="AD80" s="3">
        <f>ROUND(UpkeepMonthly*E80,2)</f>
        <v/>
      </c>
      <c r="AE80" s="3">
        <f>ROUND(HoaMonthly*C80,2)</f>
        <v/>
      </c>
      <c r="AF80" s="3">
        <f>IF(A80=0,LandPrice-LandLoan+LandClosing+LandPoints,0)</f>
        <v/>
      </c>
      <c r="AG80" s="3">
        <f>AF80+N80+R80+S80+U80+X80+Y80+Z80+AA80+AB80+AC80+AD80+AE80</f>
        <v/>
      </c>
      <c r="AH80" s="3">
        <f>AH79+AG80</f>
        <v/>
      </c>
      <c r="AJ80">
        <f>A80</f>
        <v/>
      </c>
      <c r="AK80">
        <f>IF(AJ80&lt;ExtCount,INT(Maturity+AJ80*ExtensionMonths),"")</f>
        <v/>
      </c>
    </row>
    <row r="81">
      <c r="A81">
        <f>A80+1</f>
        <v/>
      </c>
      <c r="B81" s="5">
        <f>MAX(0,MIN(A81+1,SaleClose)-MAX(A81,BuildStart))</f>
        <v/>
      </c>
      <c r="C81" s="5">
        <f>MAX(0,MIN(A81+1,SaleClose)-MAX(A81,0))</f>
        <v/>
      </c>
      <c r="D81" s="5">
        <f>MAX(0,MIN(A81+1,Completion)-MAX(A81,BuildStart))</f>
        <v/>
      </c>
      <c r="E81" s="5">
        <f>MAX(0,MIN(A81+1,SaleClose)-MAX(A81,Completion))</f>
        <v/>
      </c>
      <c r="F81" s="5">
        <f>MAX(0,MIN(A81+1,Contract)-MAX(A81,ListMonth))</f>
        <v/>
      </c>
      <c r="G81" s="6">
        <f>IF(AND(A81&gt;=BuildStart,A81&lt;BuildStart+BuildMonths),SIN(PI()*(A81-BuildStart+0.5)/BuildMonths),0)</f>
        <v/>
      </c>
      <c r="H81" s="3">
        <f>IF(AND(A81&gt;=BuildStart,A81&lt;BuildStart+BuildMonths-1),ROUND(HardActual*(G81/DrawWeightSum),2),IF(A81=BuildStart+BuildMonths-1,HardActual-SUM(H$65:H80),0))</f>
        <v/>
      </c>
      <c r="I81" s="3">
        <f>IF(A81=0,SoftActual,0)+H81</f>
        <v/>
      </c>
      <c r="J81" s="3">
        <f>O80</f>
        <v/>
      </c>
      <c r="K81" s="3">
        <f>P80</f>
        <v/>
      </c>
      <c r="L81" s="3">
        <f>MIN(I81,MAX(0,EquityReq-J81))</f>
        <v/>
      </c>
      <c r="M81" s="3">
        <f>MIN(I81-L81,Commitment-K81)</f>
        <v/>
      </c>
      <c r="N81" s="3">
        <f>L81+(I81-L81-M81)</f>
        <v/>
      </c>
      <c r="O81" s="3">
        <f>J81+I81</f>
        <v/>
      </c>
      <c r="P81" s="3">
        <f>K81+M81</f>
        <v/>
      </c>
      <c r="Q81" s="3">
        <f>W80</f>
        <v/>
      </c>
      <c r="R81" s="3">
        <f>IF(AND(A81=BuildStart,Commitment&gt;0),ConstrPoints,0)</f>
        <v/>
      </c>
      <c r="S81" s="3">
        <f>IF(M81&gt;0,DrawFee,0)</f>
        <v/>
      </c>
      <c r="T81" s="3">
        <f>ROUND(Q81*LoanRate/12*B81,2)</f>
        <v/>
      </c>
      <c r="U81" s="3">
        <f>IF(CapFlag=1,0,T81)</f>
        <v/>
      </c>
      <c r="V81" s="3">
        <f>IF(CapFlag=1,T81,0)</f>
        <v/>
      </c>
      <c r="W81" s="3">
        <f>Q81+M81+V81</f>
        <v/>
      </c>
      <c r="X81" s="3">
        <f>ROUND(LandLoan*LandRate/12*C81,2)</f>
        <v/>
      </c>
      <c r="Y81" s="3">
        <f>COUNTIF(colExtPeriod,A81)*ExtFee</f>
        <v/>
      </c>
      <c r="Z81" s="3">
        <f>ROUND(TaxRate/12*(LandPrice+O81)*C81,2)</f>
        <v/>
      </c>
      <c r="AA81" s="3">
        <f>ROUND(InsuranceRate/12*EstimateTotal*B81,2)</f>
        <v/>
      </c>
      <c r="AB81" s="3">
        <f>ROUND(UtilBuild*D81+UtilAfter*E81,2)</f>
        <v/>
      </c>
      <c r="AC81" s="3">
        <f>ROUND(StagingMonthly*F81,2)</f>
        <v/>
      </c>
      <c r="AD81" s="3">
        <f>ROUND(UpkeepMonthly*E81,2)</f>
        <v/>
      </c>
      <c r="AE81" s="3">
        <f>ROUND(HoaMonthly*C81,2)</f>
        <v/>
      </c>
      <c r="AF81" s="3">
        <f>IF(A81=0,LandPrice-LandLoan+LandClosing+LandPoints,0)</f>
        <v/>
      </c>
      <c r="AG81" s="3">
        <f>AF81+N81+R81+S81+U81+X81+Y81+Z81+AA81+AB81+AC81+AD81+AE81</f>
        <v/>
      </c>
      <c r="AH81" s="3">
        <f>AH80+AG81</f>
        <v/>
      </c>
      <c r="AJ81">
        <f>A81</f>
        <v/>
      </c>
      <c r="AK81">
        <f>IF(AJ81&lt;ExtCount,INT(Maturity+AJ81*ExtensionMonths),"")</f>
        <v/>
      </c>
    </row>
    <row r="82">
      <c r="A82">
        <f>A81+1</f>
        <v/>
      </c>
      <c r="B82" s="5">
        <f>MAX(0,MIN(A82+1,SaleClose)-MAX(A82,BuildStart))</f>
        <v/>
      </c>
      <c r="C82" s="5">
        <f>MAX(0,MIN(A82+1,SaleClose)-MAX(A82,0))</f>
        <v/>
      </c>
      <c r="D82" s="5">
        <f>MAX(0,MIN(A82+1,Completion)-MAX(A82,BuildStart))</f>
        <v/>
      </c>
      <c r="E82" s="5">
        <f>MAX(0,MIN(A82+1,SaleClose)-MAX(A82,Completion))</f>
        <v/>
      </c>
      <c r="F82" s="5">
        <f>MAX(0,MIN(A82+1,Contract)-MAX(A82,ListMonth))</f>
        <v/>
      </c>
      <c r="G82" s="6">
        <f>IF(AND(A82&gt;=BuildStart,A82&lt;BuildStart+BuildMonths),SIN(PI()*(A82-BuildStart+0.5)/BuildMonths),0)</f>
        <v/>
      </c>
      <c r="H82" s="3">
        <f>IF(AND(A82&gt;=BuildStart,A82&lt;BuildStart+BuildMonths-1),ROUND(HardActual*(G82/DrawWeightSum),2),IF(A82=BuildStart+BuildMonths-1,HardActual-SUM(H$65:H81),0))</f>
        <v/>
      </c>
      <c r="I82" s="3">
        <f>IF(A82=0,SoftActual,0)+H82</f>
        <v/>
      </c>
      <c r="J82" s="3">
        <f>O81</f>
        <v/>
      </c>
      <c r="K82" s="3">
        <f>P81</f>
        <v/>
      </c>
      <c r="L82" s="3">
        <f>MIN(I82,MAX(0,EquityReq-J82))</f>
        <v/>
      </c>
      <c r="M82" s="3">
        <f>MIN(I82-L82,Commitment-K82)</f>
        <v/>
      </c>
      <c r="N82" s="3">
        <f>L82+(I82-L82-M82)</f>
        <v/>
      </c>
      <c r="O82" s="3">
        <f>J82+I82</f>
        <v/>
      </c>
      <c r="P82" s="3">
        <f>K82+M82</f>
        <v/>
      </c>
      <c r="Q82" s="3">
        <f>W81</f>
        <v/>
      </c>
      <c r="R82" s="3">
        <f>IF(AND(A82=BuildStart,Commitment&gt;0),ConstrPoints,0)</f>
        <v/>
      </c>
      <c r="S82" s="3">
        <f>IF(M82&gt;0,DrawFee,0)</f>
        <v/>
      </c>
      <c r="T82" s="3">
        <f>ROUND(Q82*LoanRate/12*B82,2)</f>
        <v/>
      </c>
      <c r="U82" s="3">
        <f>IF(CapFlag=1,0,T82)</f>
        <v/>
      </c>
      <c r="V82" s="3">
        <f>IF(CapFlag=1,T82,0)</f>
        <v/>
      </c>
      <c r="W82" s="3">
        <f>Q82+M82+V82</f>
        <v/>
      </c>
      <c r="X82" s="3">
        <f>ROUND(LandLoan*LandRate/12*C82,2)</f>
        <v/>
      </c>
      <c r="Y82" s="3">
        <f>COUNTIF(colExtPeriod,A82)*ExtFee</f>
        <v/>
      </c>
      <c r="Z82" s="3">
        <f>ROUND(TaxRate/12*(LandPrice+O82)*C82,2)</f>
        <v/>
      </c>
      <c r="AA82" s="3">
        <f>ROUND(InsuranceRate/12*EstimateTotal*B82,2)</f>
        <v/>
      </c>
      <c r="AB82" s="3">
        <f>ROUND(UtilBuild*D82+UtilAfter*E82,2)</f>
        <v/>
      </c>
      <c r="AC82" s="3">
        <f>ROUND(StagingMonthly*F82,2)</f>
        <v/>
      </c>
      <c r="AD82" s="3">
        <f>ROUND(UpkeepMonthly*E82,2)</f>
        <v/>
      </c>
      <c r="AE82" s="3">
        <f>ROUND(HoaMonthly*C82,2)</f>
        <v/>
      </c>
      <c r="AF82" s="3">
        <f>IF(A82=0,LandPrice-LandLoan+LandClosing+LandPoints,0)</f>
        <v/>
      </c>
      <c r="AG82" s="3">
        <f>AF82+N82+R82+S82+U82+X82+Y82+Z82+AA82+AB82+AC82+AD82+AE82</f>
        <v/>
      </c>
      <c r="AH82" s="3">
        <f>AH81+AG82</f>
        <v/>
      </c>
      <c r="AJ82">
        <f>A82</f>
        <v/>
      </c>
      <c r="AK82">
        <f>IF(AJ82&lt;ExtCount,INT(Maturity+AJ82*ExtensionMonths),"")</f>
        <v/>
      </c>
    </row>
    <row r="83">
      <c r="A83">
        <f>A82+1</f>
        <v/>
      </c>
      <c r="B83" s="5">
        <f>MAX(0,MIN(A83+1,SaleClose)-MAX(A83,BuildStart))</f>
        <v/>
      </c>
      <c r="C83" s="5">
        <f>MAX(0,MIN(A83+1,SaleClose)-MAX(A83,0))</f>
        <v/>
      </c>
      <c r="D83" s="5">
        <f>MAX(0,MIN(A83+1,Completion)-MAX(A83,BuildStart))</f>
        <v/>
      </c>
      <c r="E83" s="5">
        <f>MAX(0,MIN(A83+1,SaleClose)-MAX(A83,Completion))</f>
        <v/>
      </c>
      <c r="F83" s="5">
        <f>MAX(0,MIN(A83+1,Contract)-MAX(A83,ListMonth))</f>
        <v/>
      </c>
      <c r="G83" s="6">
        <f>IF(AND(A83&gt;=BuildStart,A83&lt;BuildStart+BuildMonths),SIN(PI()*(A83-BuildStart+0.5)/BuildMonths),0)</f>
        <v/>
      </c>
      <c r="H83" s="3">
        <f>IF(AND(A83&gt;=BuildStart,A83&lt;BuildStart+BuildMonths-1),ROUND(HardActual*(G83/DrawWeightSum),2),IF(A83=BuildStart+BuildMonths-1,HardActual-SUM(H$65:H82),0))</f>
        <v/>
      </c>
      <c r="I83" s="3">
        <f>IF(A83=0,SoftActual,0)+H83</f>
        <v/>
      </c>
      <c r="J83" s="3">
        <f>O82</f>
        <v/>
      </c>
      <c r="K83" s="3">
        <f>P82</f>
        <v/>
      </c>
      <c r="L83" s="3">
        <f>MIN(I83,MAX(0,EquityReq-J83))</f>
        <v/>
      </c>
      <c r="M83" s="3">
        <f>MIN(I83-L83,Commitment-K83)</f>
        <v/>
      </c>
      <c r="N83" s="3">
        <f>L83+(I83-L83-M83)</f>
        <v/>
      </c>
      <c r="O83" s="3">
        <f>J83+I83</f>
        <v/>
      </c>
      <c r="P83" s="3">
        <f>K83+M83</f>
        <v/>
      </c>
      <c r="Q83" s="3">
        <f>W82</f>
        <v/>
      </c>
      <c r="R83" s="3">
        <f>IF(AND(A83=BuildStart,Commitment&gt;0),ConstrPoints,0)</f>
        <v/>
      </c>
      <c r="S83" s="3">
        <f>IF(M83&gt;0,DrawFee,0)</f>
        <v/>
      </c>
      <c r="T83" s="3">
        <f>ROUND(Q83*LoanRate/12*B83,2)</f>
        <v/>
      </c>
      <c r="U83" s="3">
        <f>IF(CapFlag=1,0,T83)</f>
        <v/>
      </c>
      <c r="V83" s="3">
        <f>IF(CapFlag=1,T83,0)</f>
        <v/>
      </c>
      <c r="W83" s="3">
        <f>Q83+M83+V83</f>
        <v/>
      </c>
      <c r="X83" s="3">
        <f>ROUND(LandLoan*LandRate/12*C83,2)</f>
        <v/>
      </c>
      <c r="Y83" s="3">
        <f>COUNTIF(colExtPeriod,A83)*ExtFee</f>
        <v/>
      </c>
      <c r="Z83" s="3">
        <f>ROUND(TaxRate/12*(LandPrice+O83)*C83,2)</f>
        <v/>
      </c>
      <c r="AA83" s="3">
        <f>ROUND(InsuranceRate/12*EstimateTotal*B83,2)</f>
        <v/>
      </c>
      <c r="AB83" s="3">
        <f>ROUND(UtilBuild*D83+UtilAfter*E83,2)</f>
        <v/>
      </c>
      <c r="AC83" s="3">
        <f>ROUND(StagingMonthly*F83,2)</f>
        <v/>
      </c>
      <c r="AD83" s="3">
        <f>ROUND(UpkeepMonthly*E83,2)</f>
        <v/>
      </c>
      <c r="AE83" s="3">
        <f>ROUND(HoaMonthly*C83,2)</f>
        <v/>
      </c>
      <c r="AF83" s="3">
        <f>IF(A83=0,LandPrice-LandLoan+LandClosing+LandPoints,0)</f>
        <v/>
      </c>
      <c r="AG83" s="3">
        <f>AF83+N83+R83+S83+U83+X83+Y83+Z83+AA83+AB83+AC83+AD83+AE83</f>
        <v/>
      </c>
      <c r="AH83" s="3">
        <f>AH82+AG83</f>
        <v/>
      </c>
      <c r="AJ83">
        <f>A83</f>
        <v/>
      </c>
      <c r="AK83">
        <f>IF(AJ83&lt;ExtCount,INT(Maturity+AJ83*ExtensionMonths),"")</f>
        <v/>
      </c>
    </row>
    <row r="84">
      <c r="A84">
        <f>A83+1</f>
        <v/>
      </c>
      <c r="B84" s="5">
        <f>MAX(0,MIN(A84+1,SaleClose)-MAX(A84,BuildStart))</f>
        <v/>
      </c>
      <c r="C84" s="5">
        <f>MAX(0,MIN(A84+1,SaleClose)-MAX(A84,0))</f>
        <v/>
      </c>
      <c r="D84" s="5">
        <f>MAX(0,MIN(A84+1,Completion)-MAX(A84,BuildStart))</f>
        <v/>
      </c>
      <c r="E84" s="5">
        <f>MAX(0,MIN(A84+1,SaleClose)-MAX(A84,Completion))</f>
        <v/>
      </c>
      <c r="F84" s="5">
        <f>MAX(0,MIN(A84+1,Contract)-MAX(A84,ListMonth))</f>
        <v/>
      </c>
      <c r="G84" s="6">
        <f>IF(AND(A84&gt;=BuildStart,A84&lt;BuildStart+BuildMonths),SIN(PI()*(A84-BuildStart+0.5)/BuildMonths),0)</f>
        <v/>
      </c>
      <c r="H84" s="3">
        <f>IF(AND(A84&gt;=BuildStart,A84&lt;BuildStart+BuildMonths-1),ROUND(HardActual*(G84/DrawWeightSum),2),IF(A84=BuildStart+BuildMonths-1,HardActual-SUM(H$65:H83),0))</f>
        <v/>
      </c>
      <c r="I84" s="3">
        <f>IF(A84=0,SoftActual,0)+H84</f>
        <v/>
      </c>
      <c r="J84" s="3">
        <f>O83</f>
        <v/>
      </c>
      <c r="K84" s="3">
        <f>P83</f>
        <v/>
      </c>
      <c r="L84" s="3">
        <f>MIN(I84,MAX(0,EquityReq-J84))</f>
        <v/>
      </c>
      <c r="M84" s="3">
        <f>MIN(I84-L84,Commitment-K84)</f>
        <v/>
      </c>
      <c r="N84" s="3">
        <f>L84+(I84-L84-M84)</f>
        <v/>
      </c>
      <c r="O84" s="3">
        <f>J84+I84</f>
        <v/>
      </c>
      <c r="P84" s="3">
        <f>K84+M84</f>
        <v/>
      </c>
      <c r="Q84" s="3">
        <f>W83</f>
        <v/>
      </c>
      <c r="R84" s="3">
        <f>IF(AND(A84=BuildStart,Commitment&gt;0),ConstrPoints,0)</f>
        <v/>
      </c>
      <c r="S84" s="3">
        <f>IF(M84&gt;0,DrawFee,0)</f>
        <v/>
      </c>
      <c r="T84" s="3">
        <f>ROUND(Q84*LoanRate/12*B84,2)</f>
        <v/>
      </c>
      <c r="U84" s="3">
        <f>IF(CapFlag=1,0,T84)</f>
        <v/>
      </c>
      <c r="V84" s="3">
        <f>IF(CapFlag=1,T84,0)</f>
        <v/>
      </c>
      <c r="W84" s="3">
        <f>Q84+M84+V84</f>
        <v/>
      </c>
      <c r="X84" s="3">
        <f>ROUND(LandLoan*LandRate/12*C84,2)</f>
        <v/>
      </c>
      <c r="Y84" s="3">
        <f>COUNTIF(colExtPeriod,A84)*ExtFee</f>
        <v/>
      </c>
      <c r="Z84" s="3">
        <f>ROUND(TaxRate/12*(LandPrice+O84)*C84,2)</f>
        <v/>
      </c>
      <c r="AA84" s="3">
        <f>ROUND(InsuranceRate/12*EstimateTotal*B84,2)</f>
        <v/>
      </c>
      <c r="AB84" s="3">
        <f>ROUND(UtilBuild*D84+UtilAfter*E84,2)</f>
        <v/>
      </c>
      <c r="AC84" s="3">
        <f>ROUND(StagingMonthly*F84,2)</f>
        <v/>
      </c>
      <c r="AD84" s="3">
        <f>ROUND(UpkeepMonthly*E84,2)</f>
        <v/>
      </c>
      <c r="AE84" s="3">
        <f>ROUND(HoaMonthly*C84,2)</f>
        <v/>
      </c>
      <c r="AF84" s="3">
        <f>IF(A84=0,LandPrice-LandLoan+LandClosing+LandPoints,0)</f>
        <v/>
      </c>
      <c r="AG84" s="3">
        <f>AF84+N84+R84+S84+U84+X84+Y84+Z84+AA84+AB84+AC84+AD84+AE84</f>
        <v/>
      </c>
      <c r="AH84" s="3">
        <f>AH83+AG84</f>
        <v/>
      </c>
      <c r="AJ84">
        <f>A84</f>
        <v/>
      </c>
      <c r="AK84">
        <f>IF(AJ84&lt;ExtCount,INT(Maturity+AJ84*ExtensionMonths),"")</f>
        <v/>
      </c>
    </row>
    <row r="85">
      <c r="A85">
        <f>A84+1</f>
        <v/>
      </c>
      <c r="B85" s="5">
        <f>MAX(0,MIN(A85+1,SaleClose)-MAX(A85,BuildStart))</f>
        <v/>
      </c>
      <c r="C85" s="5">
        <f>MAX(0,MIN(A85+1,SaleClose)-MAX(A85,0))</f>
        <v/>
      </c>
      <c r="D85" s="5">
        <f>MAX(0,MIN(A85+1,Completion)-MAX(A85,BuildStart))</f>
        <v/>
      </c>
      <c r="E85" s="5">
        <f>MAX(0,MIN(A85+1,SaleClose)-MAX(A85,Completion))</f>
        <v/>
      </c>
      <c r="F85" s="5">
        <f>MAX(0,MIN(A85+1,Contract)-MAX(A85,ListMonth))</f>
        <v/>
      </c>
      <c r="G85" s="6">
        <f>IF(AND(A85&gt;=BuildStart,A85&lt;BuildStart+BuildMonths),SIN(PI()*(A85-BuildStart+0.5)/BuildMonths),0)</f>
        <v/>
      </c>
      <c r="H85" s="3">
        <f>IF(AND(A85&gt;=BuildStart,A85&lt;BuildStart+BuildMonths-1),ROUND(HardActual*(G85/DrawWeightSum),2),IF(A85=BuildStart+BuildMonths-1,HardActual-SUM(H$65:H84),0))</f>
        <v/>
      </c>
      <c r="I85" s="3">
        <f>IF(A85=0,SoftActual,0)+H85</f>
        <v/>
      </c>
      <c r="J85" s="3">
        <f>O84</f>
        <v/>
      </c>
      <c r="K85" s="3">
        <f>P84</f>
        <v/>
      </c>
      <c r="L85" s="3">
        <f>MIN(I85,MAX(0,EquityReq-J85))</f>
        <v/>
      </c>
      <c r="M85" s="3">
        <f>MIN(I85-L85,Commitment-K85)</f>
        <v/>
      </c>
      <c r="N85" s="3">
        <f>L85+(I85-L85-M85)</f>
        <v/>
      </c>
      <c r="O85" s="3">
        <f>J85+I85</f>
        <v/>
      </c>
      <c r="P85" s="3">
        <f>K85+M85</f>
        <v/>
      </c>
      <c r="Q85" s="3">
        <f>W84</f>
        <v/>
      </c>
      <c r="R85" s="3">
        <f>IF(AND(A85=BuildStart,Commitment&gt;0),ConstrPoints,0)</f>
        <v/>
      </c>
      <c r="S85" s="3">
        <f>IF(M85&gt;0,DrawFee,0)</f>
        <v/>
      </c>
      <c r="T85" s="3">
        <f>ROUND(Q85*LoanRate/12*B85,2)</f>
        <v/>
      </c>
      <c r="U85" s="3">
        <f>IF(CapFlag=1,0,T85)</f>
        <v/>
      </c>
      <c r="V85" s="3">
        <f>IF(CapFlag=1,T85,0)</f>
        <v/>
      </c>
      <c r="W85" s="3">
        <f>Q85+M85+V85</f>
        <v/>
      </c>
      <c r="X85" s="3">
        <f>ROUND(LandLoan*LandRate/12*C85,2)</f>
        <v/>
      </c>
      <c r="Y85" s="3">
        <f>COUNTIF(colExtPeriod,A85)*ExtFee</f>
        <v/>
      </c>
      <c r="Z85" s="3">
        <f>ROUND(TaxRate/12*(LandPrice+O85)*C85,2)</f>
        <v/>
      </c>
      <c r="AA85" s="3">
        <f>ROUND(InsuranceRate/12*EstimateTotal*B85,2)</f>
        <v/>
      </c>
      <c r="AB85" s="3">
        <f>ROUND(UtilBuild*D85+UtilAfter*E85,2)</f>
        <v/>
      </c>
      <c r="AC85" s="3">
        <f>ROUND(StagingMonthly*F85,2)</f>
        <v/>
      </c>
      <c r="AD85" s="3">
        <f>ROUND(UpkeepMonthly*E85,2)</f>
        <v/>
      </c>
      <c r="AE85" s="3">
        <f>ROUND(HoaMonthly*C85,2)</f>
        <v/>
      </c>
      <c r="AF85" s="3">
        <f>IF(A85=0,LandPrice-LandLoan+LandClosing+LandPoints,0)</f>
        <v/>
      </c>
      <c r="AG85" s="3">
        <f>AF85+N85+R85+S85+U85+X85+Y85+Z85+AA85+AB85+AC85+AD85+AE85</f>
        <v/>
      </c>
      <c r="AH85" s="3">
        <f>AH84+AG85</f>
        <v/>
      </c>
      <c r="AJ85">
        <f>A85</f>
        <v/>
      </c>
      <c r="AK85">
        <f>IF(AJ85&lt;ExtCount,INT(Maturity+AJ85*ExtensionMonths),"")</f>
        <v/>
      </c>
    </row>
    <row r="86">
      <c r="A86">
        <f>A85+1</f>
        <v/>
      </c>
      <c r="B86" s="5">
        <f>MAX(0,MIN(A86+1,SaleClose)-MAX(A86,BuildStart))</f>
        <v/>
      </c>
      <c r="C86" s="5">
        <f>MAX(0,MIN(A86+1,SaleClose)-MAX(A86,0))</f>
        <v/>
      </c>
      <c r="D86" s="5">
        <f>MAX(0,MIN(A86+1,Completion)-MAX(A86,BuildStart))</f>
        <v/>
      </c>
      <c r="E86" s="5">
        <f>MAX(0,MIN(A86+1,SaleClose)-MAX(A86,Completion))</f>
        <v/>
      </c>
      <c r="F86" s="5">
        <f>MAX(0,MIN(A86+1,Contract)-MAX(A86,ListMonth))</f>
        <v/>
      </c>
      <c r="G86" s="6">
        <f>IF(AND(A86&gt;=BuildStart,A86&lt;BuildStart+BuildMonths),SIN(PI()*(A86-BuildStart+0.5)/BuildMonths),0)</f>
        <v/>
      </c>
      <c r="H86" s="3">
        <f>IF(AND(A86&gt;=BuildStart,A86&lt;BuildStart+BuildMonths-1),ROUND(HardActual*(G86/DrawWeightSum),2),IF(A86=BuildStart+BuildMonths-1,HardActual-SUM(H$65:H85),0))</f>
        <v/>
      </c>
      <c r="I86" s="3">
        <f>IF(A86=0,SoftActual,0)+H86</f>
        <v/>
      </c>
      <c r="J86" s="3">
        <f>O85</f>
        <v/>
      </c>
      <c r="K86" s="3">
        <f>P85</f>
        <v/>
      </c>
      <c r="L86" s="3">
        <f>MIN(I86,MAX(0,EquityReq-J86))</f>
        <v/>
      </c>
      <c r="M86" s="3">
        <f>MIN(I86-L86,Commitment-K86)</f>
        <v/>
      </c>
      <c r="N86" s="3">
        <f>L86+(I86-L86-M86)</f>
        <v/>
      </c>
      <c r="O86" s="3">
        <f>J86+I86</f>
        <v/>
      </c>
      <c r="P86" s="3">
        <f>K86+M86</f>
        <v/>
      </c>
      <c r="Q86" s="3">
        <f>W85</f>
        <v/>
      </c>
      <c r="R86" s="3">
        <f>IF(AND(A86=BuildStart,Commitment&gt;0),ConstrPoints,0)</f>
        <v/>
      </c>
      <c r="S86" s="3">
        <f>IF(M86&gt;0,DrawFee,0)</f>
        <v/>
      </c>
      <c r="T86" s="3">
        <f>ROUND(Q86*LoanRate/12*B86,2)</f>
        <v/>
      </c>
      <c r="U86" s="3">
        <f>IF(CapFlag=1,0,T86)</f>
        <v/>
      </c>
      <c r="V86" s="3">
        <f>IF(CapFlag=1,T86,0)</f>
        <v/>
      </c>
      <c r="W86" s="3">
        <f>Q86+M86+V86</f>
        <v/>
      </c>
      <c r="X86" s="3">
        <f>ROUND(LandLoan*LandRate/12*C86,2)</f>
        <v/>
      </c>
      <c r="Y86" s="3">
        <f>COUNTIF(colExtPeriod,A86)*ExtFee</f>
        <v/>
      </c>
      <c r="Z86" s="3">
        <f>ROUND(TaxRate/12*(LandPrice+O86)*C86,2)</f>
        <v/>
      </c>
      <c r="AA86" s="3">
        <f>ROUND(InsuranceRate/12*EstimateTotal*B86,2)</f>
        <v/>
      </c>
      <c r="AB86" s="3">
        <f>ROUND(UtilBuild*D86+UtilAfter*E86,2)</f>
        <v/>
      </c>
      <c r="AC86" s="3">
        <f>ROUND(StagingMonthly*F86,2)</f>
        <v/>
      </c>
      <c r="AD86" s="3">
        <f>ROUND(UpkeepMonthly*E86,2)</f>
        <v/>
      </c>
      <c r="AE86" s="3">
        <f>ROUND(HoaMonthly*C86,2)</f>
        <v/>
      </c>
      <c r="AF86" s="3">
        <f>IF(A86=0,LandPrice-LandLoan+LandClosing+LandPoints,0)</f>
        <v/>
      </c>
      <c r="AG86" s="3">
        <f>AF86+N86+R86+S86+U86+X86+Y86+Z86+AA86+AB86+AC86+AD86+AE86</f>
        <v/>
      </c>
      <c r="AH86" s="3">
        <f>AH85+AG86</f>
        <v/>
      </c>
      <c r="AJ86">
        <f>A86</f>
        <v/>
      </c>
      <c r="AK86">
        <f>IF(AJ86&lt;ExtCount,INT(Maturity+AJ86*ExtensionMonths),"")</f>
        <v/>
      </c>
    </row>
    <row r="87">
      <c r="A87">
        <f>A86+1</f>
        <v/>
      </c>
      <c r="B87" s="5">
        <f>MAX(0,MIN(A87+1,SaleClose)-MAX(A87,BuildStart))</f>
        <v/>
      </c>
      <c r="C87" s="5">
        <f>MAX(0,MIN(A87+1,SaleClose)-MAX(A87,0))</f>
        <v/>
      </c>
      <c r="D87" s="5">
        <f>MAX(0,MIN(A87+1,Completion)-MAX(A87,BuildStart))</f>
        <v/>
      </c>
      <c r="E87" s="5">
        <f>MAX(0,MIN(A87+1,SaleClose)-MAX(A87,Completion))</f>
        <v/>
      </c>
      <c r="F87" s="5">
        <f>MAX(0,MIN(A87+1,Contract)-MAX(A87,ListMonth))</f>
        <v/>
      </c>
      <c r="G87" s="6">
        <f>IF(AND(A87&gt;=BuildStart,A87&lt;BuildStart+BuildMonths),SIN(PI()*(A87-BuildStart+0.5)/BuildMonths),0)</f>
        <v/>
      </c>
      <c r="H87" s="3">
        <f>IF(AND(A87&gt;=BuildStart,A87&lt;BuildStart+BuildMonths-1),ROUND(HardActual*(G87/DrawWeightSum),2),IF(A87=BuildStart+BuildMonths-1,HardActual-SUM(H$65:H86),0))</f>
        <v/>
      </c>
      <c r="I87" s="3">
        <f>IF(A87=0,SoftActual,0)+H87</f>
        <v/>
      </c>
      <c r="J87" s="3">
        <f>O86</f>
        <v/>
      </c>
      <c r="K87" s="3">
        <f>P86</f>
        <v/>
      </c>
      <c r="L87" s="3">
        <f>MIN(I87,MAX(0,EquityReq-J87))</f>
        <v/>
      </c>
      <c r="M87" s="3">
        <f>MIN(I87-L87,Commitment-K87)</f>
        <v/>
      </c>
      <c r="N87" s="3">
        <f>L87+(I87-L87-M87)</f>
        <v/>
      </c>
      <c r="O87" s="3">
        <f>J87+I87</f>
        <v/>
      </c>
      <c r="P87" s="3">
        <f>K87+M87</f>
        <v/>
      </c>
      <c r="Q87" s="3">
        <f>W86</f>
        <v/>
      </c>
      <c r="R87" s="3">
        <f>IF(AND(A87=BuildStart,Commitment&gt;0),ConstrPoints,0)</f>
        <v/>
      </c>
      <c r="S87" s="3">
        <f>IF(M87&gt;0,DrawFee,0)</f>
        <v/>
      </c>
      <c r="T87" s="3">
        <f>ROUND(Q87*LoanRate/12*B87,2)</f>
        <v/>
      </c>
      <c r="U87" s="3">
        <f>IF(CapFlag=1,0,T87)</f>
        <v/>
      </c>
      <c r="V87" s="3">
        <f>IF(CapFlag=1,T87,0)</f>
        <v/>
      </c>
      <c r="W87" s="3">
        <f>Q87+M87+V87</f>
        <v/>
      </c>
      <c r="X87" s="3">
        <f>ROUND(LandLoan*LandRate/12*C87,2)</f>
        <v/>
      </c>
      <c r="Y87" s="3">
        <f>COUNTIF(colExtPeriod,A87)*ExtFee</f>
        <v/>
      </c>
      <c r="Z87" s="3">
        <f>ROUND(TaxRate/12*(LandPrice+O87)*C87,2)</f>
        <v/>
      </c>
      <c r="AA87" s="3">
        <f>ROUND(InsuranceRate/12*EstimateTotal*B87,2)</f>
        <v/>
      </c>
      <c r="AB87" s="3">
        <f>ROUND(UtilBuild*D87+UtilAfter*E87,2)</f>
        <v/>
      </c>
      <c r="AC87" s="3">
        <f>ROUND(StagingMonthly*F87,2)</f>
        <v/>
      </c>
      <c r="AD87" s="3">
        <f>ROUND(UpkeepMonthly*E87,2)</f>
        <v/>
      </c>
      <c r="AE87" s="3">
        <f>ROUND(HoaMonthly*C87,2)</f>
        <v/>
      </c>
      <c r="AF87" s="3">
        <f>IF(A87=0,LandPrice-LandLoan+LandClosing+LandPoints,0)</f>
        <v/>
      </c>
      <c r="AG87" s="3">
        <f>AF87+N87+R87+S87+U87+X87+Y87+Z87+AA87+AB87+AC87+AD87+AE87</f>
        <v/>
      </c>
      <c r="AH87" s="3">
        <f>AH86+AG87</f>
        <v/>
      </c>
      <c r="AJ87">
        <f>A87</f>
        <v/>
      </c>
      <c r="AK87">
        <f>IF(AJ87&lt;ExtCount,INT(Maturity+AJ87*ExtensionMonths),"")</f>
        <v/>
      </c>
    </row>
    <row r="88">
      <c r="A88">
        <f>A87+1</f>
        <v/>
      </c>
      <c r="B88" s="5">
        <f>MAX(0,MIN(A88+1,SaleClose)-MAX(A88,BuildStart))</f>
        <v/>
      </c>
      <c r="C88" s="5">
        <f>MAX(0,MIN(A88+1,SaleClose)-MAX(A88,0))</f>
        <v/>
      </c>
      <c r="D88" s="5">
        <f>MAX(0,MIN(A88+1,Completion)-MAX(A88,BuildStart))</f>
        <v/>
      </c>
      <c r="E88" s="5">
        <f>MAX(0,MIN(A88+1,SaleClose)-MAX(A88,Completion))</f>
        <v/>
      </c>
      <c r="F88" s="5">
        <f>MAX(0,MIN(A88+1,Contract)-MAX(A88,ListMonth))</f>
        <v/>
      </c>
      <c r="G88" s="6">
        <f>IF(AND(A88&gt;=BuildStart,A88&lt;BuildStart+BuildMonths),SIN(PI()*(A88-BuildStart+0.5)/BuildMonths),0)</f>
        <v/>
      </c>
      <c r="H88" s="3">
        <f>IF(AND(A88&gt;=BuildStart,A88&lt;BuildStart+BuildMonths-1),ROUND(HardActual*(G88/DrawWeightSum),2),IF(A88=BuildStart+BuildMonths-1,HardActual-SUM(H$65:H87),0))</f>
        <v/>
      </c>
      <c r="I88" s="3">
        <f>IF(A88=0,SoftActual,0)+H88</f>
        <v/>
      </c>
      <c r="J88" s="3">
        <f>O87</f>
        <v/>
      </c>
      <c r="K88" s="3">
        <f>P87</f>
        <v/>
      </c>
      <c r="L88" s="3">
        <f>MIN(I88,MAX(0,EquityReq-J88))</f>
        <v/>
      </c>
      <c r="M88" s="3">
        <f>MIN(I88-L88,Commitment-K88)</f>
        <v/>
      </c>
      <c r="N88" s="3">
        <f>L88+(I88-L88-M88)</f>
        <v/>
      </c>
      <c r="O88" s="3">
        <f>J88+I88</f>
        <v/>
      </c>
      <c r="P88" s="3">
        <f>K88+M88</f>
        <v/>
      </c>
      <c r="Q88" s="3">
        <f>W87</f>
        <v/>
      </c>
      <c r="R88" s="3">
        <f>IF(AND(A88=BuildStart,Commitment&gt;0),ConstrPoints,0)</f>
        <v/>
      </c>
      <c r="S88" s="3">
        <f>IF(M88&gt;0,DrawFee,0)</f>
        <v/>
      </c>
      <c r="T88" s="3">
        <f>ROUND(Q88*LoanRate/12*B88,2)</f>
        <v/>
      </c>
      <c r="U88" s="3">
        <f>IF(CapFlag=1,0,T88)</f>
        <v/>
      </c>
      <c r="V88" s="3">
        <f>IF(CapFlag=1,T88,0)</f>
        <v/>
      </c>
      <c r="W88" s="3">
        <f>Q88+M88+V88</f>
        <v/>
      </c>
      <c r="X88" s="3">
        <f>ROUND(LandLoan*LandRate/12*C88,2)</f>
        <v/>
      </c>
      <c r="Y88" s="3">
        <f>COUNTIF(colExtPeriod,A88)*ExtFee</f>
        <v/>
      </c>
      <c r="Z88" s="3">
        <f>ROUND(TaxRate/12*(LandPrice+O88)*C88,2)</f>
        <v/>
      </c>
      <c r="AA88" s="3">
        <f>ROUND(InsuranceRate/12*EstimateTotal*B88,2)</f>
        <v/>
      </c>
      <c r="AB88" s="3">
        <f>ROUND(UtilBuild*D88+UtilAfter*E88,2)</f>
        <v/>
      </c>
      <c r="AC88" s="3">
        <f>ROUND(StagingMonthly*F88,2)</f>
        <v/>
      </c>
      <c r="AD88" s="3">
        <f>ROUND(UpkeepMonthly*E88,2)</f>
        <v/>
      </c>
      <c r="AE88" s="3">
        <f>ROUND(HoaMonthly*C88,2)</f>
        <v/>
      </c>
      <c r="AF88" s="3">
        <f>IF(A88=0,LandPrice-LandLoan+LandClosing+LandPoints,0)</f>
        <v/>
      </c>
      <c r="AG88" s="3">
        <f>AF88+N88+R88+S88+U88+X88+Y88+Z88+AA88+AB88+AC88+AD88+AE88</f>
        <v/>
      </c>
      <c r="AH88" s="3">
        <f>AH87+AG88</f>
        <v/>
      </c>
      <c r="AJ88">
        <f>A88</f>
        <v/>
      </c>
      <c r="AK88">
        <f>IF(AJ88&lt;ExtCount,INT(Maturity+AJ88*ExtensionMonths),"")</f>
        <v/>
      </c>
    </row>
    <row r="89">
      <c r="A89">
        <f>A88+1</f>
        <v/>
      </c>
      <c r="B89" s="5">
        <f>MAX(0,MIN(A89+1,SaleClose)-MAX(A89,BuildStart))</f>
        <v/>
      </c>
      <c r="C89" s="5">
        <f>MAX(0,MIN(A89+1,SaleClose)-MAX(A89,0))</f>
        <v/>
      </c>
      <c r="D89" s="5">
        <f>MAX(0,MIN(A89+1,Completion)-MAX(A89,BuildStart))</f>
        <v/>
      </c>
      <c r="E89" s="5">
        <f>MAX(0,MIN(A89+1,SaleClose)-MAX(A89,Completion))</f>
        <v/>
      </c>
      <c r="F89" s="5">
        <f>MAX(0,MIN(A89+1,Contract)-MAX(A89,ListMonth))</f>
        <v/>
      </c>
      <c r="G89" s="6">
        <f>IF(AND(A89&gt;=BuildStart,A89&lt;BuildStart+BuildMonths),SIN(PI()*(A89-BuildStart+0.5)/BuildMonths),0)</f>
        <v/>
      </c>
      <c r="H89" s="3">
        <f>IF(AND(A89&gt;=BuildStart,A89&lt;BuildStart+BuildMonths-1),ROUND(HardActual*(G89/DrawWeightSum),2),IF(A89=BuildStart+BuildMonths-1,HardActual-SUM(H$65:H88),0))</f>
        <v/>
      </c>
      <c r="I89" s="3">
        <f>IF(A89=0,SoftActual,0)+H89</f>
        <v/>
      </c>
      <c r="J89" s="3">
        <f>O88</f>
        <v/>
      </c>
      <c r="K89" s="3">
        <f>P88</f>
        <v/>
      </c>
      <c r="L89" s="3">
        <f>MIN(I89,MAX(0,EquityReq-J89))</f>
        <v/>
      </c>
      <c r="M89" s="3">
        <f>MIN(I89-L89,Commitment-K89)</f>
        <v/>
      </c>
      <c r="N89" s="3">
        <f>L89+(I89-L89-M89)</f>
        <v/>
      </c>
      <c r="O89" s="3">
        <f>J89+I89</f>
        <v/>
      </c>
      <c r="P89" s="3">
        <f>K89+M89</f>
        <v/>
      </c>
      <c r="Q89" s="3">
        <f>W88</f>
        <v/>
      </c>
      <c r="R89" s="3">
        <f>IF(AND(A89=BuildStart,Commitment&gt;0),ConstrPoints,0)</f>
        <v/>
      </c>
      <c r="S89" s="3">
        <f>IF(M89&gt;0,DrawFee,0)</f>
        <v/>
      </c>
      <c r="T89" s="3">
        <f>ROUND(Q89*LoanRate/12*B89,2)</f>
        <v/>
      </c>
      <c r="U89" s="3">
        <f>IF(CapFlag=1,0,T89)</f>
        <v/>
      </c>
      <c r="V89" s="3">
        <f>IF(CapFlag=1,T89,0)</f>
        <v/>
      </c>
      <c r="W89" s="3">
        <f>Q89+M89+V89</f>
        <v/>
      </c>
      <c r="X89" s="3">
        <f>ROUND(LandLoan*LandRate/12*C89,2)</f>
        <v/>
      </c>
      <c r="Y89" s="3">
        <f>COUNTIF(colExtPeriod,A89)*ExtFee</f>
        <v/>
      </c>
      <c r="Z89" s="3">
        <f>ROUND(TaxRate/12*(LandPrice+O89)*C89,2)</f>
        <v/>
      </c>
      <c r="AA89" s="3">
        <f>ROUND(InsuranceRate/12*EstimateTotal*B89,2)</f>
        <v/>
      </c>
      <c r="AB89" s="3">
        <f>ROUND(UtilBuild*D89+UtilAfter*E89,2)</f>
        <v/>
      </c>
      <c r="AC89" s="3">
        <f>ROUND(StagingMonthly*F89,2)</f>
        <v/>
      </c>
      <c r="AD89" s="3">
        <f>ROUND(UpkeepMonthly*E89,2)</f>
        <v/>
      </c>
      <c r="AE89" s="3">
        <f>ROUND(HoaMonthly*C89,2)</f>
        <v/>
      </c>
      <c r="AF89" s="3">
        <f>IF(A89=0,LandPrice-LandLoan+LandClosing+LandPoints,0)</f>
        <v/>
      </c>
      <c r="AG89" s="3">
        <f>AF89+N89+R89+S89+U89+X89+Y89+Z89+AA89+AB89+AC89+AD89+AE89</f>
        <v/>
      </c>
      <c r="AH89" s="3">
        <f>AH88+AG89</f>
        <v/>
      </c>
      <c r="AJ89">
        <f>A89</f>
        <v/>
      </c>
      <c r="AK89">
        <f>IF(AJ89&lt;ExtCount,INT(Maturity+AJ89*ExtensionMonths),"")</f>
        <v/>
      </c>
    </row>
    <row r="90">
      <c r="A90">
        <f>A89+1</f>
        <v/>
      </c>
      <c r="B90" s="5">
        <f>MAX(0,MIN(A90+1,SaleClose)-MAX(A90,BuildStart))</f>
        <v/>
      </c>
      <c r="C90" s="5">
        <f>MAX(0,MIN(A90+1,SaleClose)-MAX(A90,0))</f>
        <v/>
      </c>
      <c r="D90" s="5">
        <f>MAX(0,MIN(A90+1,Completion)-MAX(A90,BuildStart))</f>
        <v/>
      </c>
      <c r="E90" s="5">
        <f>MAX(0,MIN(A90+1,SaleClose)-MAX(A90,Completion))</f>
        <v/>
      </c>
      <c r="F90" s="5">
        <f>MAX(0,MIN(A90+1,Contract)-MAX(A90,ListMonth))</f>
        <v/>
      </c>
      <c r="G90" s="6">
        <f>IF(AND(A90&gt;=BuildStart,A90&lt;BuildStart+BuildMonths),SIN(PI()*(A90-BuildStart+0.5)/BuildMonths),0)</f>
        <v/>
      </c>
      <c r="H90" s="3">
        <f>IF(AND(A90&gt;=BuildStart,A90&lt;BuildStart+BuildMonths-1),ROUND(HardActual*(G90/DrawWeightSum),2),IF(A90=BuildStart+BuildMonths-1,HardActual-SUM(H$65:H89),0))</f>
        <v/>
      </c>
      <c r="I90" s="3">
        <f>IF(A90=0,SoftActual,0)+H90</f>
        <v/>
      </c>
      <c r="J90" s="3">
        <f>O89</f>
        <v/>
      </c>
      <c r="K90" s="3">
        <f>P89</f>
        <v/>
      </c>
      <c r="L90" s="3">
        <f>MIN(I90,MAX(0,EquityReq-J90))</f>
        <v/>
      </c>
      <c r="M90" s="3">
        <f>MIN(I90-L90,Commitment-K90)</f>
        <v/>
      </c>
      <c r="N90" s="3">
        <f>L90+(I90-L90-M90)</f>
        <v/>
      </c>
      <c r="O90" s="3">
        <f>J90+I90</f>
        <v/>
      </c>
      <c r="P90" s="3">
        <f>K90+M90</f>
        <v/>
      </c>
      <c r="Q90" s="3">
        <f>W89</f>
        <v/>
      </c>
      <c r="R90" s="3">
        <f>IF(AND(A90=BuildStart,Commitment&gt;0),ConstrPoints,0)</f>
        <v/>
      </c>
      <c r="S90" s="3">
        <f>IF(M90&gt;0,DrawFee,0)</f>
        <v/>
      </c>
      <c r="T90" s="3">
        <f>ROUND(Q90*LoanRate/12*B90,2)</f>
        <v/>
      </c>
      <c r="U90" s="3">
        <f>IF(CapFlag=1,0,T90)</f>
        <v/>
      </c>
      <c r="V90" s="3">
        <f>IF(CapFlag=1,T90,0)</f>
        <v/>
      </c>
      <c r="W90" s="3">
        <f>Q90+M90+V90</f>
        <v/>
      </c>
      <c r="X90" s="3">
        <f>ROUND(LandLoan*LandRate/12*C90,2)</f>
        <v/>
      </c>
      <c r="Y90" s="3">
        <f>COUNTIF(colExtPeriod,A90)*ExtFee</f>
        <v/>
      </c>
      <c r="Z90" s="3">
        <f>ROUND(TaxRate/12*(LandPrice+O90)*C90,2)</f>
        <v/>
      </c>
      <c r="AA90" s="3">
        <f>ROUND(InsuranceRate/12*EstimateTotal*B90,2)</f>
        <v/>
      </c>
      <c r="AB90" s="3">
        <f>ROUND(UtilBuild*D90+UtilAfter*E90,2)</f>
        <v/>
      </c>
      <c r="AC90" s="3">
        <f>ROUND(StagingMonthly*F90,2)</f>
        <v/>
      </c>
      <c r="AD90" s="3">
        <f>ROUND(UpkeepMonthly*E90,2)</f>
        <v/>
      </c>
      <c r="AE90" s="3">
        <f>ROUND(HoaMonthly*C90,2)</f>
        <v/>
      </c>
      <c r="AF90" s="3">
        <f>IF(A90=0,LandPrice-LandLoan+LandClosing+LandPoints,0)</f>
        <v/>
      </c>
      <c r="AG90" s="3">
        <f>AF90+N90+R90+S90+U90+X90+Y90+Z90+AA90+AB90+AC90+AD90+AE90</f>
        <v/>
      </c>
      <c r="AH90" s="3">
        <f>AH89+AG90</f>
        <v/>
      </c>
      <c r="AJ90">
        <f>A90</f>
        <v/>
      </c>
      <c r="AK90">
        <f>IF(AJ90&lt;ExtCount,INT(Maturity+AJ90*ExtensionMonths),"")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2026-10-30T21:43:20Z</dcterms:created>
  <dcterms:modified xmlns:dcterms="http://purl.org/dc/terms/" xmlns:xsi="http://www.w3.org/2001/XMLSchema-instance" xsi:type="dcterms:W3CDTF">2026-10-30T21:43:20Z</dcterms:modified>
</cp:coreProperties>
</file>